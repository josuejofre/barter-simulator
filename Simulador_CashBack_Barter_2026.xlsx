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760a1110f3163/Projetos/Barter Simulator/"/>
    </mc:Choice>
  </mc:AlternateContent>
  <xr:revisionPtr revIDLastSave="60" documentId="13_ncr:1_{4471872B-2932-4B94-9F5A-F15A4FAF387F}" xr6:coauthVersionLast="47" xr6:coauthVersionMax="47" xr10:uidLastSave="{D64259F7-1C74-43DB-98BB-10B401364033}"/>
  <bookViews>
    <workbookView xWindow="-110" yWindow="-110" windowWidth="19420" windowHeight="10300" xr2:uid="{507E8C52-4AC5-4303-BA21-5B7B491348B3}"/>
  </bookViews>
  <sheets>
    <sheet name="R.T._u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31" i="1"/>
  <c r="B33" i="1"/>
  <c r="B30" i="1"/>
  <c r="B18" i="1"/>
  <c r="B27" i="1"/>
  <c r="B32" i="1"/>
  <c r="B13" i="1"/>
  <c r="B17" i="1"/>
  <c r="B26" i="1"/>
  <c r="B5" i="1"/>
  <c r="H33" i="1"/>
  <c r="H22" i="1"/>
  <c r="H7" i="1"/>
  <c r="B6" i="1" l="1"/>
  <c r="H4" i="1"/>
  <c r="N4" i="1" s="1"/>
  <c r="B12" i="1"/>
  <c r="E8" i="1"/>
  <c r="E10" i="1"/>
  <c r="E9" i="1"/>
  <c r="E12" i="1" s="1"/>
  <c r="H18" i="1"/>
  <c r="N2" i="1" s="1"/>
  <c r="H29" i="1"/>
  <c r="E3" i="1"/>
  <c r="E17" i="1" s="1"/>
  <c r="B25" i="1" l="1"/>
  <c r="E25" i="1" s="1"/>
  <c r="B19" i="1"/>
  <c r="B21" i="1" s="1"/>
  <c r="H6" i="1"/>
  <c r="P4" i="1" s="1"/>
  <c r="E18" i="1"/>
  <c r="N1" i="1"/>
  <c r="H32" i="1"/>
  <c r="P1" i="1" s="1"/>
  <c r="B22" i="1"/>
  <c r="H21" i="1"/>
  <c r="P2" i="1" s="1"/>
  <c r="E13" i="1"/>
  <c r="E19" i="1" s="1"/>
  <c r="B2" i="1" l="1"/>
  <c r="B4" i="1" s="1"/>
  <c r="E4" i="1" s="1"/>
  <c r="E21" i="1"/>
  <c r="C13" i="1"/>
  <c r="E22" i="1"/>
  <c r="F22" i="1" s="1"/>
  <c r="F13" i="1"/>
  <c r="E2" i="1" l="1"/>
  <c r="C22" i="1"/>
  <c r="F21" i="1"/>
  <c r="C21" i="1"/>
  <c r="E26" i="1" l="1"/>
  <c r="E30" i="1" s="1"/>
  <c r="E5" i="1" s="1"/>
  <c r="C5" i="1" l="1"/>
  <c r="F5" i="1"/>
  <c r="E28" i="1"/>
  <c r="E31" i="1" s="1"/>
  <c r="C31" i="1" s="1"/>
  <c r="E27" i="1"/>
  <c r="E32" i="1" s="1"/>
  <c r="F32" i="1" s="1"/>
  <c r="C32" i="1" l="1"/>
  <c r="E33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tc={ECE83973-34DB-4453-AA3D-71BBBD31F878}</author>
    <author>tc={D34899CD-80EE-484B-B161-619D1F68A27E}</author>
  </authors>
  <commentList>
    <comment ref="A9" authorId="0" shapeId="0" xr:uid="{ECE83973-34DB-4453-AA3D-71BBBD31F8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 - Faturamento PF
NÃO - Faturamento PJ
Clientes que faturam algodão via cooperativa o pagamento sendo integral. </t>
      </text>
    </comment>
    <comment ref="A13" authorId="1" shapeId="0" xr:uid="{D34899CD-80EE-484B-B161-619D1F68A2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Para entendermos o volume de kg no algodão, deve-se multiplicar por 15 a quantidade de @. </t>
      </text>
    </comment>
  </commentList>
</comments>
</file>

<file path=xl/sharedStrings.xml><?xml version="1.0" encoding="utf-8"?>
<sst xmlns="http://schemas.openxmlformats.org/spreadsheetml/2006/main" count="116" uniqueCount="60">
  <si>
    <t>NUTRADE</t>
  </si>
  <si>
    <t xml:space="preserve">TRADINGS MERCADO </t>
  </si>
  <si>
    <t>SOJA</t>
  </si>
  <si>
    <t>MILHO</t>
  </si>
  <si>
    <t>ALGODÃO</t>
  </si>
  <si>
    <t>Preço Pedido Nfe</t>
  </si>
  <si>
    <t xml:space="preserve">CARÊNCIA </t>
  </si>
  <si>
    <t>Preço Pedido TP</t>
  </si>
  <si>
    <t>VENCIMENTO</t>
  </si>
  <si>
    <t xml:space="preserve">Dias corridos </t>
  </si>
  <si>
    <t>Commodity</t>
  </si>
  <si>
    <t>Descontos SOJA Senar + Fethab</t>
  </si>
  <si>
    <t>JUROS a.m.</t>
  </si>
  <si>
    <t xml:space="preserve">PRAÇA </t>
  </si>
  <si>
    <t xml:space="preserve">JUROS periodo </t>
  </si>
  <si>
    <r>
      <t xml:space="preserve">Preço </t>
    </r>
    <r>
      <rPr>
        <i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Bruto</t>
    </r>
  </si>
  <si>
    <t xml:space="preserve">Incentivo </t>
  </si>
  <si>
    <r>
      <t xml:space="preserve">Preço </t>
    </r>
    <r>
      <rPr>
        <i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Livre</t>
    </r>
  </si>
  <si>
    <t>VALORIZAÇÃO CAMPANHA</t>
  </si>
  <si>
    <t>Valorização %</t>
  </si>
  <si>
    <t>Cash Back $</t>
  </si>
  <si>
    <t>Cash Back (sc e/ou @) equivalência</t>
  </si>
  <si>
    <t xml:space="preserve">Valorização Commodity equivalência </t>
  </si>
  <si>
    <t>Cessão Syngenta CROP</t>
  </si>
  <si>
    <t xml:space="preserve">INCENTIVO BARTER </t>
  </si>
  <si>
    <t>Incentivo Barter %</t>
  </si>
  <si>
    <t>Incentivo Barter $</t>
  </si>
  <si>
    <t>Equivalência sacas e/ou @</t>
  </si>
  <si>
    <t>Total retorno $</t>
  </si>
  <si>
    <t>Volume TROCA equivalência</t>
  </si>
  <si>
    <t>&lt;&gt; Soja inicial vs valorizações</t>
  </si>
  <si>
    <t>B8</t>
  </si>
  <si>
    <t xml:space="preserve">VENCIMENTO MILHO </t>
  </si>
  <si>
    <r>
      <t xml:space="preserve">Preço </t>
    </r>
    <r>
      <rPr>
        <i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Bruto</t>
    </r>
  </si>
  <si>
    <t xml:space="preserve">Item </t>
  </si>
  <si>
    <t>Célula</t>
  </si>
  <si>
    <t xml:space="preserve">CÉLULAS PARA AJUSTE </t>
  </si>
  <si>
    <t xml:space="preserve">VENCIMENTO SOJA  </t>
  </si>
  <si>
    <t xml:space="preserve">VENCIMENTO ALGODÃO </t>
  </si>
  <si>
    <t>Descontos SOJA Senar + Funrural</t>
  </si>
  <si>
    <t>DEMAIS TRADINGS</t>
  </si>
  <si>
    <t>H3</t>
  </si>
  <si>
    <t>Valorização - USD 4,5%</t>
  </si>
  <si>
    <t>Valorização - USD 3%</t>
  </si>
  <si>
    <r>
      <t xml:space="preserve">Volume TROCA sacas </t>
    </r>
    <r>
      <rPr>
        <b/>
        <sz val="11"/>
        <color theme="1"/>
        <rFont val="Calibri"/>
        <family val="2"/>
        <scheme val="minor"/>
      </rPr>
      <t>SOJA</t>
    </r>
    <r>
      <rPr>
        <sz val="11"/>
        <color theme="1"/>
        <rFont val="Calibri"/>
        <family val="2"/>
        <scheme val="minor"/>
      </rPr>
      <t xml:space="preserve"> ou @ </t>
    </r>
    <r>
      <rPr>
        <b/>
        <sz val="11"/>
        <color theme="1"/>
        <rFont val="Calibri"/>
        <family val="2"/>
        <scheme val="minor"/>
      </rPr>
      <t>ALGODÃO</t>
    </r>
  </si>
  <si>
    <t xml:space="preserve">CAMPO NOVO </t>
  </si>
  <si>
    <t xml:space="preserve">Preço Pedido A VISTA </t>
  </si>
  <si>
    <t>Preço Pedido PRAZO</t>
  </si>
  <si>
    <t>&lt;&gt;</t>
  </si>
  <si>
    <r>
      <t xml:space="preserve">Preço Pedido </t>
    </r>
    <r>
      <rPr>
        <b/>
        <sz val="11"/>
        <color theme="1"/>
        <rFont val="Calibri"/>
        <family val="2"/>
        <scheme val="minor"/>
      </rPr>
      <t>BARTER Call</t>
    </r>
  </si>
  <si>
    <r>
      <t xml:space="preserve">Preço Pedido </t>
    </r>
    <r>
      <rPr>
        <b/>
        <sz val="11"/>
        <color theme="1"/>
        <rFont val="Calibri"/>
        <family val="2"/>
        <scheme val="minor"/>
      </rPr>
      <t>BARTER Cash Back</t>
    </r>
    <r>
      <rPr>
        <sz val="11"/>
        <color theme="1"/>
        <rFont val="Calibri"/>
        <family val="2"/>
        <scheme val="minor"/>
      </rPr>
      <t xml:space="preserve"> equivalente</t>
    </r>
  </si>
  <si>
    <t>B3</t>
  </si>
  <si>
    <t>B9</t>
  </si>
  <si>
    <t>B10</t>
  </si>
  <si>
    <t>B11</t>
  </si>
  <si>
    <t>E11</t>
  </si>
  <si>
    <t>H17</t>
  </si>
  <si>
    <t>H28</t>
  </si>
  <si>
    <t>SIM</t>
  </si>
  <si>
    <r>
      <t xml:space="preserve">Preço </t>
    </r>
    <r>
      <rPr>
        <i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Livre (adicionar KM chão e terra)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</si>
</sst>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.00_ ;_-[$$-409]* \-#,##0.00\ ;_-[$$-409]* &quot;-&quot;??_ ;_-@_ 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10" fontId="0" fillId="0" borderId="0" xfId="0" applyNumberFormat="1"/>
    <xf numFmtId="0" fontId="0" fillId="0" borderId="3" xfId="0" applyBorder="1"/>
    <xf numFmtId="164" fontId="3" fillId="3" borderId="4" xfId="0" applyNumberFormat="1" applyFont="1" applyFill="1" applyBorder="1"/>
    <xf numFmtId="0" fontId="3" fillId="0" borderId="3" xfId="0" applyFont="1" applyBorder="1"/>
    <xf numFmtId="164" fontId="0" fillId="0" borderId="4" xfId="0" applyNumberFormat="1" applyBorder="1"/>
    <xf numFmtId="43" fontId="0" fillId="4" borderId="4" xfId="1" applyFont="1" applyFill="1" applyBorder="1"/>
    <xf numFmtId="0" fontId="4" fillId="0" borderId="3" xfId="0" applyFont="1" applyBorder="1"/>
    <xf numFmtId="164" fontId="3" fillId="4" borderId="4" xfId="0" applyNumberFormat="1" applyFont="1" applyFill="1" applyBorder="1"/>
    <xf numFmtId="0" fontId="0" fillId="0" borderId="4" xfId="0" applyBorder="1"/>
    <xf numFmtId="10" fontId="0" fillId="0" borderId="4" xfId="2" applyNumberFormat="1" applyFont="1" applyBorder="1"/>
    <xf numFmtId="0" fontId="0" fillId="0" borderId="5" xfId="0" applyBorder="1"/>
    <xf numFmtId="10" fontId="3" fillId="6" borderId="6" xfId="2" applyNumberFormat="1" applyFont="1" applyFill="1" applyBorder="1"/>
    <xf numFmtId="164" fontId="0" fillId="7" borderId="4" xfId="0" applyNumberFormat="1" applyFill="1" applyBorder="1"/>
    <xf numFmtId="165" fontId="3" fillId="0" borderId="4" xfId="1" applyNumberFormat="1" applyFont="1" applyBorder="1"/>
    <xf numFmtId="10" fontId="3" fillId="7" borderId="4" xfId="2" applyNumberFormat="1" applyFont="1" applyFill="1" applyBorder="1"/>
    <xf numFmtId="164" fontId="3" fillId="0" borderId="4" xfId="2" applyNumberFormat="1" applyFont="1" applyBorder="1"/>
    <xf numFmtId="165" fontId="0" fillId="0" borderId="4" xfId="1" applyNumberFormat="1" applyFont="1" applyBorder="1"/>
    <xf numFmtId="164" fontId="0" fillId="0" borderId="4" xfId="1" applyNumberFormat="1" applyFont="1" applyBorder="1"/>
    <xf numFmtId="164" fontId="3" fillId="7" borderId="4" xfId="0" applyNumberFormat="1" applyFont="1" applyFill="1" applyBorder="1"/>
    <xf numFmtId="165" fontId="3" fillId="7" borderId="4" xfId="1" applyNumberFormat="1" applyFont="1" applyFill="1" applyBorder="1"/>
    <xf numFmtId="43" fontId="0" fillId="0" borderId="4" xfId="1" applyFont="1" applyBorder="1"/>
    <xf numFmtId="10" fontId="3" fillId="6" borderId="4" xfId="2" applyNumberFormat="1" applyFont="1" applyFill="1" applyBorder="1"/>
    <xf numFmtId="10" fontId="3" fillId="7" borderId="6" xfId="2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10" fontId="3" fillId="0" borderId="0" xfId="2" applyNumberFormat="1" applyFont="1" applyBorder="1"/>
    <xf numFmtId="10" fontId="0" fillId="0" borderId="0" xfId="2" applyNumberFormat="1" applyFont="1" applyBorder="1"/>
    <xf numFmtId="0" fontId="3" fillId="0" borderId="4" xfId="0" applyFont="1" applyBorder="1" applyAlignment="1">
      <alignment horizontal="center"/>
    </xf>
    <xf numFmtId="164" fontId="3" fillId="3" borderId="4" xfId="0" applyNumberFormat="1" applyFont="1" applyFill="1" applyBorder="1" applyProtection="1">
      <protection locked="0"/>
    </xf>
    <xf numFmtId="164" fontId="3" fillId="4" borderId="4" xfId="0" applyNumberFormat="1" applyFont="1" applyFill="1" applyBorder="1" applyProtection="1">
      <protection locked="0"/>
    </xf>
    <xf numFmtId="14" fontId="0" fillId="0" borderId="4" xfId="0" applyNumberFormat="1" applyBorder="1" applyProtection="1">
      <protection locked="0"/>
    </xf>
    <xf numFmtId="14" fontId="0" fillId="3" borderId="4" xfId="0" applyNumberFormat="1" applyFill="1" applyBorder="1" applyProtection="1">
      <protection locked="0"/>
    </xf>
    <xf numFmtId="10" fontId="0" fillId="0" borderId="4" xfId="2" applyNumberFormat="1" applyFont="1" applyFill="1" applyBorder="1"/>
    <xf numFmtId="0" fontId="3" fillId="4" borderId="4" xfId="0" applyFont="1" applyFill="1" applyBorder="1" applyAlignment="1">
      <alignment horizontal="center"/>
    </xf>
    <xf numFmtId="10" fontId="3" fillId="4" borderId="4" xfId="2" applyNumberFormat="1" applyFont="1" applyFill="1" applyBorder="1"/>
    <xf numFmtId="10" fontId="3" fillId="0" borderId="4" xfId="2" applyNumberFormat="1" applyFont="1" applyFill="1" applyBorder="1"/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0" fillId="5" borderId="0" xfId="0" applyFill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0" fontId="0" fillId="5" borderId="0" xfId="2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0" fontId="3" fillId="4" borderId="0" xfId="2" applyNumberFormat="1" applyFont="1" applyFill="1" applyBorder="1" applyAlignment="1">
      <alignment horizontal="center"/>
    </xf>
    <xf numFmtId="10" fontId="3" fillId="4" borderId="0" xfId="2" applyNumberFormat="1" applyFont="1" applyFill="1" applyBorder="1"/>
    <xf numFmtId="10" fontId="3" fillId="0" borderId="0" xfId="2" applyNumberFormat="1" applyFont="1" applyFill="1" applyBorder="1" applyAlignment="1">
      <alignment horizontal="center"/>
    </xf>
    <xf numFmtId="10" fontId="3" fillId="0" borderId="0" xfId="2" applyNumberFormat="1" applyFont="1" applyFill="1" applyBorder="1"/>
    <xf numFmtId="0" fontId="3" fillId="0" borderId="7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8" borderId="3" xfId="0" applyFill="1" applyBorder="1"/>
    <xf numFmtId="0" fontId="0" fillId="5" borderId="3" xfId="0" applyFill="1" applyBorder="1"/>
    <xf numFmtId="0" fontId="0" fillId="8" borderId="5" xfId="0" applyFill="1" applyBorder="1"/>
  </cellXfs>
  <cellStyles count="3">
    <cellStyle name="Comma" xfId="1" builtinId="3"/>
    <cellStyle name="Normal" xfId="0" builtinId="0"/>
    <cellStyle name="Percent" xfId="2" builtinId="5"/>
  </cellStyles>
  <dxfs count="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 Leonardo BRSP" id="{24724A78-D246-483A-98CF-D153D4C4E334}" userId="S::Leonardo.Vale@syngenta.com::426c0a79-58e1-4928-8833-75f2b755699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4-03-19T21:11:17.88" personId="{24724A78-D246-483A-98CF-D153D4C4E334}" id="{ECE83973-34DB-4453-AA3D-71BBBD31F878}">
    <text xml:space="preserve">SIM - Faturamento PF
NÃO - Faturamento PJ
Clientes que faturam algodão via cooperativa o pagamento sendo integral. </text>
  </threadedComment>
  <threadedComment ref="A13" dT="2024-03-19T21:16:13.06" personId="{24724A78-D246-483A-98CF-D153D4C4E334}" id="{D34899CD-80EE-484B-B161-619D1F68A27E}">
    <text xml:space="preserve">Para entendermos o volume de kg no algodão, deve-se multiplicar por 15 a quantidade de @.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7C0C-3EA0-4673-B5FB-11A75A00A79B}">
  <dimension ref="A1:P33"/>
  <sheetViews>
    <sheetView showGridLines="0" tabSelected="1" topLeftCell="F1" zoomScale="160" zoomScaleNormal="160" workbookViewId="0">
      <selection activeCell="H5" sqref="H5"/>
    </sheetView>
  </sheetViews>
  <sheetFormatPr defaultRowHeight="14.5" x14ac:dyDescent="0.35"/>
  <cols>
    <col min="1" max="1" width="42.36328125" customWidth="1"/>
    <col min="2" max="2" width="21.36328125" customWidth="1"/>
    <col min="3" max="3" width="9.08984375" style="42" customWidth="1"/>
    <col min="4" max="4" width="41.6328125" bestFit="1" customWidth="1"/>
    <col min="5" max="5" width="20.90625" customWidth="1"/>
    <col min="6" max="6" width="9.6328125" customWidth="1"/>
    <col min="7" max="7" width="29.36328125" bestFit="1" customWidth="1"/>
    <col min="8" max="8" width="11.6328125" bestFit="1" customWidth="1"/>
    <col min="9" max="9" width="6.36328125" customWidth="1"/>
    <col min="10" max="10" width="29.08984375" bestFit="1" customWidth="1"/>
    <col min="11" max="11" width="6.08984375" bestFit="1" customWidth="1"/>
    <col min="13" max="13" width="10" hidden="1" customWidth="1"/>
    <col min="14" max="14" width="6.36328125" hidden="1" customWidth="1"/>
    <col min="15" max="15" width="10" hidden="1" customWidth="1"/>
    <col min="16" max="16" width="6.36328125" hidden="1" customWidth="1"/>
  </cols>
  <sheetData>
    <row r="1" spans="1:16" x14ac:dyDescent="0.35">
      <c r="A1" s="57" t="s">
        <v>0</v>
      </c>
      <c r="B1" s="58"/>
      <c r="C1" s="52" t="s">
        <v>48</v>
      </c>
      <c r="D1" s="57" t="s">
        <v>1</v>
      </c>
      <c r="E1" s="58"/>
      <c r="F1" s="52" t="s">
        <v>48</v>
      </c>
      <c r="G1" s="57" t="s">
        <v>2</v>
      </c>
      <c r="H1" s="58"/>
      <c r="I1" s="24"/>
      <c r="J1" s="53" t="s">
        <v>36</v>
      </c>
      <c r="K1" s="54"/>
      <c r="M1" t="s">
        <v>4</v>
      </c>
      <c r="N1" s="1">
        <f>+H33</f>
        <v>4.1500000000000002E-2</v>
      </c>
      <c r="O1" t="s">
        <v>4</v>
      </c>
      <c r="P1" s="1">
        <f>H32</f>
        <v>9.9600000000000008E-2</v>
      </c>
    </row>
    <row r="2" spans="1:16" x14ac:dyDescent="0.35">
      <c r="A2" s="62" t="s">
        <v>7</v>
      </c>
      <c r="B2" s="5">
        <f>B3*100%/(100%+IFERROR(VLOOKUP(B8,O:P,2,0),0))</f>
        <v>920471.28129602352</v>
      </c>
      <c r="D2" s="2" t="s">
        <v>7</v>
      </c>
      <c r="E2" s="5">
        <f>B2</f>
        <v>920471.28129602352</v>
      </c>
      <c r="G2" s="4" t="s">
        <v>6</v>
      </c>
      <c r="H2" s="34">
        <v>45931</v>
      </c>
      <c r="J2" s="55"/>
      <c r="K2" s="56"/>
      <c r="M2" t="s">
        <v>3</v>
      </c>
      <c r="N2" s="1">
        <f>+H22</f>
        <v>3.1333333333333331E-2</v>
      </c>
      <c r="O2" t="s">
        <v>3</v>
      </c>
      <c r="P2" s="1">
        <f>H21</f>
        <v>7.5200000000000003E-2</v>
      </c>
    </row>
    <row r="3" spans="1:16" x14ac:dyDescent="0.35">
      <c r="A3" s="61" t="s">
        <v>47</v>
      </c>
      <c r="B3" s="32">
        <v>1000000</v>
      </c>
      <c r="D3" s="2" t="s">
        <v>47</v>
      </c>
      <c r="E3" s="3">
        <f>B3</f>
        <v>1000000</v>
      </c>
      <c r="G3" s="4" t="s">
        <v>8</v>
      </c>
      <c r="H3" s="35">
        <v>46147</v>
      </c>
      <c r="J3" s="55"/>
      <c r="K3" s="56"/>
      <c r="N3" s="1"/>
      <c r="P3" s="1"/>
    </row>
    <row r="4" spans="1:16" x14ac:dyDescent="0.35">
      <c r="A4" s="2" t="s">
        <v>46</v>
      </c>
      <c r="B4" s="5">
        <f>B2-(B2*4%)</f>
        <v>883652.43004418258</v>
      </c>
      <c r="D4" s="2" t="s">
        <v>46</v>
      </c>
      <c r="E4" s="5">
        <f>B4</f>
        <v>883652.43004418258</v>
      </c>
      <c r="G4" s="2" t="s">
        <v>9</v>
      </c>
      <c r="H4" s="6">
        <f>H3-H2</f>
        <v>216</v>
      </c>
      <c r="J4" s="55"/>
      <c r="K4" s="56"/>
      <c r="M4" t="s">
        <v>2</v>
      </c>
      <c r="N4" s="1">
        <f>+H7</f>
        <v>3.6000000000000004E-2</v>
      </c>
      <c r="O4" t="s">
        <v>2</v>
      </c>
      <c r="P4" s="1">
        <f>H6</f>
        <v>8.6400000000000005E-2</v>
      </c>
    </row>
    <row r="5" spans="1:16" ht="16.25" customHeight="1" x14ac:dyDescent="0.35">
      <c r="A5" s="61" t="s">
        <v>50</v>
      </c>
      <c r="B5" s="5">
        <f>B3-B30</f>
        <v>921863.03387334314</v>
      </c>
      <c r="C5" s="48">
        <f>B5/B4-1</f>
        <v>4.3241666666666623E-2</v>
      </c>
      <c r="D5" s="2" t="s">
        <v>50</v>
      </c>
      <c r="E5" s="5">
        <f>E3-E30</f>
        <v>936863.03387334314</v>
      </c>
      <c r="F5" s="49">
        <f>E5/E4-1</f>
        <v>6.0216666666666807E-2</v>
      </c>
      <c r="G5" s="2" t="s">
        <v>12</v>
      </c>
      <c r="H5" s="10">
        <v>1.2E-2</v>
      </c>
      <c r="J5" s="40"/>
      <c r="K5" s="41"/>
      <c r="N5" s="1"/>
      <c r="P5" s="1"/>
    </row>
    <row r="6" spans="1:16" ht="16.25" customHeight="1" x14ac:dyDescent="0.35">
      <c r="A6" s="2" t="s">
        <v>49</v>
      </c>
      <c r="B6" s="5">
        <f>B3</f>
        <v>1000000</v>
      </c>
      <c r="C6" s="50"/>
      <c r="D6" s="2" t="s">
        <v>49</v>
      </c>
      <c r="E6" s="5">
        <v>0</v>
      </c>
      <c r="F6" s="51"/>
      <c r="G6" s="2" t="s">
        <v>14</v>
      </c>
      <c r="H6" s="36">
        <f>H4/30*H5</f>
        <v>8.6400000000000005E-2</v>
      </c>
      <c r="J6" s="40"/>
      <c r="K6" s="41"/>
      <c r="N6" s="1"/>
      <c r="P6" s="1"/>
    </row>
    <row r="7" spans="1:16" ht="17.399999999999999" customHeight="1" x14ac:dyDescent="0.35">
      <c r="A7" s="2"/>
      <c r="B7" s="5"/>
      <c r="D7" s="2"/>
      <c r="E7" s="5"/>
      <c r="G7" s="2" t="s">
        <v>16</v>
      </c>
      <c r="H7" s="22">
        <f>H4/30*0.5%</f>
        <v>3.6000000000000004E-2</v>
      </c>
      <c r="J7" s="2"/>
      <c r="K7" s="27"/>
      <c r="N7" s="1"/>
      <c r="P7" s="1"/>
    </row>
    <row r="8" spans="1:16" x14ac:dyDescent="0.35">
      <c r="A8" s="7" t="s">
        <v>10</v>
      </c>
      <c r="B8" s="33" t="s">
        <v>2</v>
      </c>
      <c r="D8" s="7" t="s">
        <v>10</v>
      </c>
      <c r="E8" s="8" t="str">
        <f>B8</f>
        <v>SOJA</v>
      </c>
      <c r="G8" s="2"/>
      <c r="H8" s="9"/>
      <c r="J8" s="4" t="s">
        <v>34</v>
      </c>
      <c r="K8" s="31" t="s">
        <v>35</v>
      </c>
    </row>
    <row r="9" spans="1:16" x14ac:dyDescent="0.35">
      <c r="A9" s="7" t="s">
        <v>11</v>
      </c>
      <c r="B9" s="33" t="s">
        <v>58</v>
      </c>
      <c r="D9" s="7" t="s">
        <v>11</v>
      </c>
      <c r="E9" s="8" t="str">
        <f>B9</f>
        <v>SIM</v>
      </c>
      <c r="G9" s="2"/>
      <c r="H9" s="9"/>
      <c r="J9" s="4"/>
      <c r="K9" s="31"/>
    </row>
    <row r="10" spans="1:16" x14ac:dyDescent="0.35">
      <c r="A10" s="2" t="s">
        <v>13</v>
      </c>
      <c r="B10" s="33" t="s">
        <v>45</v>
      </c>
      <c r="C10" s="44"/>
      <c r="D10" s="2" t="s">
        <v>13</v>
      </c>
      <c r="E10" s="8" t="str">
        <f>B10</f>
        <v xml:space="preserve">CAMPO NOVO </v>
      </c>
      <c r="G10" s="2"/>
      <c r="H10" s="9"/>
      <c r="J10" s="4" t="s">
        <v>0</v>
      </c>
      <c r="K10" s="31"/>
    </row>
    <row r="11" spans="1:16" x14ac:dyDescent="0.35">
      <c r="A11" s="2" t="s">
        <v>15</v>
      </c>
      <c r="B11" s="33">
        <v>20</v>
      </c>
      <c r="C11" s="44"/>
      <c r="D11" s="2" t="s">
        <v>15</v>
      </c>
      <c r="E11" s="33">
        <v>19.8</v>
      </c>
      <c r="G11" s="2"/>
      <c r="H11" s="9"/>
      <c r="J11" s="2" t="s">
        <v>47</v>
      </c>
      <c r="K11" s="28" t="s">
        <v>51</v>
      </c>
    </row>
    <row r="12" spans="1:16" x14ac:dyDescent="0.35">
      <c r="A12" s="2" t="s">
        <v>59</v>
      </c>
      <c r="B12" s="13">
        <f>B11-IF(B9="SIM",(B11*0.2%+0.6),0)</f>
        <v>19.36</v>
      </c>
      <c r="C12" s="45"/>
      <c r="D12" s="2" t="s">
        <v>17</v>
      </c>
      <c r="E12" s="13">
        <f>E11-IF(E9="SIM",(E11*0.2%+0.6),0)</f>
        <v>19.160399999999999</v>
      </c>
      <c r="G12" s="2"/>
      <c r="H12" s="39"/>
      <c r="J12" s="7" t="s">
        <v>10</v>
      </c>
      <c r="K12" s="28" t="s">
        <v>31</v>
      </c>
    </row>
    <row r="13" spans="1:16" x14ac:dyDescent="0.35">
      <c r="A13" s="61" t="s">
        <v>44</v>
      </c>
      <c r="B13" s="14">
        <f>B3/B12</f>
        <v>51652.89256198347</v>
      </c>
      <c r="C13" s="46">
        <f>B13/E13-1</f>
        <v>-1.03099173553719E-2</v>
      </c>
      <c r="D13" s="2" t="s">
        <v>44</v>
      </c>
      <c r="E13" s="14">
        <f>E3/E12</f>
        <v>52190.977223857539</v>
      </c>
      <c r="F13" s="29">
        <f>E13/B13-1</f>
        <v>1.0417319053881879E-2</v>
      </c>
      <c r="G13" s="2"/>
      <c r="H13" s="9"/>
      <c r="J13" s="7" t="s">
        <v>39</v>
      </c>
      <c r="K13" s="28" t="s">
        <v>52</v>
      </c>
    </row>
    <row r="14" spans="1:16" x14ac:dyDescent="0.35">
      <c r="A14" s="2"/>
      <c r="B14" s="5"/>
      <c r="C14" s="44"/>
      <c r="D14" s="2"/>
      <c r="E14" s="5"/>
      <c r="G14" s="2"/>
      <c r="H14" s="9"/>
      <c r="J14" s="2" t="s">
        <v>13</v>
      </c>
      <c r="K14" s="28" t="s">
        <v>53</v>
      </c>
    </row>
    <row r="15" spans="1:16" x14ac:dyDescent="0.35">
      <c r="A15" s="59" t="s">
        <v>18</v>
      </c>
      <c r="B15" s="60"/>
      <c r="C15" s="44"/>
      <c r="D15" s="59" t="s">
        <v>18</v>
      </c>
      <c r="E15" s="60"/>
      <c r="G15" s="59" t="s">
        <v>3</v>
      </c>
      <c r="H15" s="60"/>
      <c r="J15" s="2" t="s">
        <v>33</v>
      </c>
      <c r="K15" s="28" t="s">
        <v>54</v>
      </c>
    </row>
    <row r="16" spans="1:16" x14ac:dyDescent="0.35">
      <c r="A16" s="61" t="s">
        <v>42</v>
      </c>
      <c r="B16" s="38">
        <v>4.4999999999999998E-2</v>
      </c>
      <c r="D16" s="2" t="s">
        <v>43</v>
      </c>
      <c r="E16" s="15">
        <v>0.03</v>
      </c>
      <c r="G16" s="4" t="s">
        <v>6</v>
      </c>
      <c r="H16" s="34">
        <v>46082</v>
      </c>
      <c r="J16" s="2" t="s">
        <v>19</v>
      </c>
      <c r="K16" s="28"/>
    </row>
    <row r="17" spans="1:11" x14ac:dyDescent="0.35">
      <c r="A17" s="61" t="s">
        <v>20</v>
      </c>
      <c r="B17" s="16">
        <f>B3*B16</f>
        <v>45000</v>
      </c>
      <c r="D17" s="2" t="s">
        <v>20</v>
      </c>
      <c r="E17" s="16">
        <f>E3*E16</f>
        <v>30000</v>
      </c>
      <c r="G17" s="4" t="s">
        <v>8</v>
      </c>
      <c r="H17" s="35">
        <v>46270</v>
      </c>
      <c r="J17" s="2"/>
      <c r="K17" s="28"/>
    </row>
    <row r="18" spans="1:11" x14ac:dyDescent="0.35">
      <c r="A18" s="2" t="s">
        <v>21</v>
      </c>
      <c r="B18" s="17">
        <f>B17/B12</f>
        <v>2324.3801652892562</v>
      </c>
      <c r="D18" s="2" t="s">
        <v>21</v>
      </c>
      <c r="E18" s="17">
        <f>E17/E12</f>
        <v>1565.7293167157263</v>
      </c>
      <c r="G18" s="2" t="s">
        <v>9</v>
      </c>
      <c r="H18" s="6">
        <f>H17-H16</f>
        <v>188</v>
      </c>
      <c r="J18" s="4" t="s">
        <v>40</v>
      </c>
      <c r="K18" s="31"/>
    </row>
    <row r="19" spans="1:11" x14ac:dyDescent="0.35">
      <c r="A19" s="2" t="s">
        <v>22</v>
      </c>
      <c r="B19" s="18">
        <f>B17/B13</f>
        <v>0.87119999999999997</v>
      </c>
      <c r="D19" s="2" t="s">
        <v>22</v>
      </c>
      <c r="E19" s="18">
        <f>E17/E13</f>
        <v>0.57481199999999999</v>
      </c>
      <c r="G19" s="2"/>
      <c r="H19" s="9"/>
      <c r="J19" s="2" t="s">
        <v>5</v>
      </c>
      <c r="K19" s="28"/>
    </row>
    <row r="20" spans="1:11" x14ac:dyDescent="0.35">
      <c r="A20" s="2"/>
      <c r="B20" s="18"/>
      <c r="D20" s="2"/>
      <c r="E20" s="18"/>
      <c r="G20" s="2" t="s">
        <v>12</v>
      </c>
      <c r="H20" s="10">
        <v>1.2E-2</v>
      </c>
      <c r="J20" s="7" t="s">
        <v>10</v>
      </c>
      <c r="K20" s="28"/>
    </row>
    <row r="21" spans="1:11" x14ac:dyDescent="0.35">
      <c r="A21" s="2" t="s">
        <v>22</v>
      </c>
      <c r="B21" s="19">
        <f>B12+B19</f>
        <v>20.231200000000001</v>
      </c>
      <c r="C21" s="43">
        <f>B21/E21-1</f>
        <v>2.5132134379909354E-2</v>
      </c>
      <c r="D21" s="2" t="s">
        <v>22</v>
      </c>
      <c r="E21" s="19">
        <f>E12+E19</f>
        <v>19.735212000000001</v>
      </c>
      <c r="F21" s="30">
        <f>E21/B21-1</f>
        <v>-2.4515995096682341E-2</v>
      </c>
      <c r="G21" s="2" t="s">
        <v>14</v>
      </c>
      <c r="H21" s="36">
        <f>H18/30*H20</f>
        <v>7.5200000000000003E-2</v>
      </c>
      <c r="J21" s="7" t="s">
        <v>39</v>
      </c>
      <c r="K21" s="28"/>
    </row>
    <row r="22" spans="1:11" x14ac:dyDescent="0.35">
      <c r="A22" s="2" t="s">
        <v>23</v>
      </c>
      <c r="B22" s="20">
        <f>B13-B18</f>
        <v>49328.512396694212</v>
      </c>
      <c r="C22" s="43">
        <f>B22/E22-1</f>
        <v>-2.5614403169464173E-2</v>
      </c>
      <c r="D22" s="2" t="s">
        <v>23</v>
      </c>
      <c r="E22" s="20">
        <f>E13-E18</f>
        <v>50625.247907141813</v>
      </c>
      <c r="F22" s="30">
        <f>E22/B22-1</f>
        <v>2.628774814896917E-2</v>
      </c>
      <c r="G22" s="2" t="s">
        <v>16</v>
      </c>
      <c r="H22" s="22">
        <f>H18/30*0.5%</f>
        <v>3.1333333333333331E-2</v>
      </c>
      <c r="J22" s="2" t="s">
        <v>13</v>
      </c>
      <c r="K22" s="28"/>
    </row>
    <row r="23" spans="1:11" x14ac:dyDescent="0.35">
      <c r="A23" s="2"/>
      <c r="B23" s="21"/>
      <c r="D23" s="2"/>
      <c r="E23" s="21"/>
      <c r="G23" s="2"/>
      <c r="H23" s="9"/>
      <c r="J23" s="2" t="s">
        <v>15</v>
      </c>
      <c r="K23" s="28" t="s">
        <v>55</v>
      </c>
    </row>
    <row r="24" spans="1:11" x14ac:dyDescent="0.35">
      <c r="A24" s="59" t="s">
        <v>24</v>
      </c>
      <c r="B24" s="60"/>
      <c r="D24" s="59" t="s">
        <v>24</v>
      </c>
      <c r="E24" s="60"/>
      <c r="G24" s="2"/>
      <c r="H24" s="9"/>
      <c r="J24" s="2"/>
      <c r="K24" s="28"/>
    </row>
    <row r="25" spans="1:11" x14ac:dyDescent="0.35">
      <c r="A25" s="61" t="s">
        <v>25</v>
      </c>
      <c r="B25" s="22">
        <f>IFERROR(VLOOKUP(B8,M:N,2,0),0)</f>
        <v>3.6000000000000004E-2</v>
      </c>
      <c r="D25" s="2" t="s">
        <v>25</v>
      </c>
      <c r="E25" s="22">
        <f>B25</f>
        <v>3.6000000000000004E-2</v>
      </c>
      <c r="G25" s="2"/>
      <c r="H25" s="9"/>
      <c r="J25" s="2"/>
      <c r="K25" s="28"/>
    </row>
    <row r="26" spans="1:11" x14ac:dyDescent="0.35">
      <c r="A26" s="61" t="s">
        <v>26</v>
      </c>
      <c r="B26" s="5">
        <f>B2*B25</f>
        <v>33136.966126656851</v>
      </c>
      <c r="D26" s="2" t="s">
        <v>26</v>
      </c>
      <c r="E26" s="5">
        <f>E2*E25</f>
        <v>33136.966126656851</v>
      </c>
      <c r="G26" s="59" t="s">
        <v>4</v>
      </c>
      <c r="H26" s="60"/>
      <c r="J26" s="4" t="s">
        <v>37</v>
      </c>
      <c r="K26" s="37" t="s">
        <v>41</v>
      </c>
    </row>
    <row r="27" spans="1:11" x14ac:dyDescent="0.35">
      <c r="A27" s="2" t="s">
        <v>27</v>
      </c>
      <c r="B27" s="17">
        <f>B26/B12</f>
        <v>1711.620151170292</v>
      </c>
      <c r="D27" s="2" t="s">
        <v>27</v>
      </c>
      <c r="E27" s="17">
        <f>E26/E12</f>
        <v>1729.4506443840867</v>
      </c>
      <c r="G27" s="4" t="s">
        <v>6</v>
      </c>
      <c r="H27" s="34">
        <v>46082</v>
      </c>
      <c r="J27" s="4" t="s">
        <v>32</v>
      </c>
      <c r="K27" s="37" t="s">
        <v>56</v>
      </c>
    </row>
    <row r="28" spans="1:11" x14ac:dyDescent="0.35">
      <c r="A28" s="2" t="s">
        <v>22</v>
      </c>
      <c r="B28" s="5">
        <f>B26/B13</f>
        <v>0.64153166421207664</v>
      </c>
      <c r="D28" s="2" t="s">
        <v>22</v>
      </c>
      <c r="E28" s="5">
        <f>E26/E13</f>
        <v>0.63491752577319593</v>
      </c>
      <c r="G28" s="4" t="s">
        <v>8</v>
      </c>
      <c r="H28" s="35">
        <v>46331</v>
      </c>
      <c r="J28" s="4" t="s">
        <v>38</v>
      </c>
      <c r="K28" s="37" t="s">
        <v>57</v>
      </c>
    </row>
    <row r="29" spans="1:11" x14ac:dyDescent="0.35">
      <c r="A29" s="2"/>
      <c r="B29" s="9"/>
      <c r="D29" s="2"/>
      <c r="E29" s="9"/>
      <c r="G29" s="2" t="s">
        <v>9</v>
      </c>
      <c r="H29" s="6">
        <f>H28-H27</f>
        <v>249</v>
      </c>
      <c r="J29" s="2"/>
      <c r="K29" s="27"/>
    </row>
    <row r="30" spans="1:11" x14ac:dyDescent="0.35">
      <c r="A30" s="61" t="s">
        <v>28</v>
      </c>
      <c r="B30" s="19">
        <f>B17+B26</f>
        <v>78136.966126656858</v>
      </c>
      <c r="D30" s="2" t="s">
        <v>28</v>
      </c>
      <c r="E30" s="19">
        <f>E17+E26</f>
        <v>63136.966126656851</v>
      </c>
      <c r="G30" s="2"/>
      <c r="H30" s="9"/>
      <c r="J30" s="2"/>
      <c r="K30" s="27"/>
    </row>
    <row r="31" spans="1:11" x14ac:dyDescent="0.35">
      <c r="A31" s="2" t="s">
        <v>22</v>
      </c>
      <c r="B31" s="19">
        <f>B12+B19+B28</f>
        <v>20.872731664212079</v>
      </c>
      <c r="C31" s="43">
        <f>B31/E31-1</f>
        <v>2.4673487608557698E-2</v>
      </c>
      <c r="D31" s="2" t="s">
        <v>22</v>
      </c>
      <c r="E31" s="19">
        <f>E12+E19+E28</f>
        <v>20.370129525773198</v>
      </c>
      <c r="F31" s="30">
        <f>E31/B31-1</f>
        <v>-2.4079365677882603E-2</v>
      </c>
      <c r="G31" s="2" t="s">
        <v>12</v>
      </c>
      <c r="H31" s="10">
        <v>1.2E-2</v>
      </c>
      <c r="J31" s="2"/>
      <c r="K31" s="27"/>
    </row>
    <row r="32" spans="1:11" x14ac:dyDescent="0.35">
      <c r="A32" s="61" t="s">
        <v>29</v>
      </c>
      <c r="B32" s="20">
        <f>B13-(B18+B27)</f>
        <v>47616.892245523923</v>
      </c>
      <c r="C32" s="43">
        <f>B32/E32-1</f>
        <v>-2.6155724803119229E-2</v>
      </c>
      <c r="D32" s="2" t="s">
        <v>29</v>
      </c>
      <c r="E32" s="20">
        <f>E13-(E18+E27)</f>
        <v>48895.797262757726</v>
      </c>
      <c r="F32" s="30">
        <f>E32/B32-1</f>
        <v>2.6858221041378805E-2</v>
      </c>
      <c r="G32" s="2" t="s">
        <v>14</v>
      </c>
      <c r="H32" s="36">
        <f>H29/30*H31</f>
        <v>9.9600000000000008E-2</v>
      </c>
      <c r="J32" s="2"/>
      <c r="K32" s="27"/>
    </row>
    <row r="33" spans="1:11" ht="15" thickBot="1" x14ac:dyDescent="0.4">
      <c r="A33" s="63" t="s">
        <v>30</v>
      </c>
      <c r="B33" s="23">
        <f>B31/B12-1</f>
        <v>7.8136966126657104E-2</v>
      </c>
      <c r="C33" s="47"/>
      <c r="D33" s="11" t="s">
        <v>30</v>
      </c>
      <c r="E33" s="23">
        <f>E31/E12-1</f>
        <v>6.3136966126656979E-2</v>
      </c>
      <c r="F33" s="25"/>
      <c r="G33" s="11" t="s">
        <v>16</v>
      </c>
      <c r="H33" s="12">
        <f>H29/30*0.5%</f>
        <v>4.1500000000000002E-2</v>
      </c>
      <c r="I33" s="25"/>
      <c r="J33" s="11"/>
      <c r="K33" s="26"/>
    </row>
  </sheetData>
  <mergeCells count="10">
    <mergeCell ref="G26:H26"/>
    <mergeCell ref="A15:B15"/>
    <mergeCell ref="D15:E15"/>
    <mergeCell ref="A24:B24"/>
    <mergeCell ref="D24:E24"/>
    <mergeCell ref="J1:K4"/>
    <mergeCell ref="A1:B1"/>
    <mergeCell ref="D1:E1"/>
    <mergeCell ref="G1:H1"/>
    <mergeCell ref="G15:H15"/>
  </mergeCells>
  <phoneticPr fontId="5" type="noConversion"/>
  <conditionalFormatting sqref="C13">
    <cfRule type="cellIs" dxfId="7" priority="1" operator="lessThan">
      <formula>$F$13</formula>
    </cfRule>
  </conditionalFormatting>
  <conditionalFormatting sqref="C21 C31">
    <cfRule type="cellIs" dxfId="6" priority="9" operator="lessThan">
      <formula>$F$31</formula>
    </cfRule>
  </conditionalFormatting>
  <conditionalFormatting sqref="C22 C32">
    <cfRule type="cellIs" dxfId="5" priority="11" operator="lessThan">
      <formula>$F$32</formula>
    </cfRule>
  </conditionalFormatting>
  <conditionalFormatting sqref="F13">
    <cfRule type="cellIs" dxfId="4" priority="2" operator="lessThan">
      <formula>$C$12</formula>
    </cfRule>
  </conditionalFormatting>
  <conditionalFormatting sqref="F21">
    <cfRule type="cellIs" dxfId="3" priority="4" operator="lessThan">
      <formula>$C$31</formula>
    </cfRule>
  </conditionalFormatting>
  <conditionalFormatting sqref="F22">
    <cfRule type="cellIs" dxfId="2" priority="3" operator="greaterThan">
      <formula>$C$32</formula>
    </cfRule>
  </conditionalFormatting>
  <conditionalFormatting sqref="F31">
    <cfRule type="cellIs" dxfId="1" priority="6" operator="lessThan">
      <formula>$C$31</formula>
    </cfRule>
  </conditionalFormatting>
  <conditionalFormatting sqref="F32">
    <cfRule type="cellIs" dxfId="0" priority="5" operator="greaterThan">
      <formula>$C$32</formula>
    </cfRule>
  </conditionalFormatting>
  <dataValidations disablePrompts="1" count="3">
    <dataValidation type="list" allowBlank="1" showInputMessage="1" showErrorMessage="1" sqref="B9 E9" xr:uid="{535578D5-9BE4-4936-9ABF-3856D88A47DD}">
      <formula1>"SIM,NÃO"</formula1>
    </dataValidation>
    <dataValidation type="list" allowBlank="1" showInputMessage="1" showErrorMessage="1" sqref="B8 E8" xr:uid="{8BC000E5-D7AA-4CB0-8FAC-ED705EE2FB38}">
      <formula1>"ALGODÃO, MILHO, SOJA"</formula1>
    </dataValidation>
    <dataValidation type="list" allowBlank="1" showInputMessage="1" showErrorMessage="1" sqref="B16" xr:uid="{8423C519-8A42-45E7-B8AA-666C9F8B9FB6}">
      <mc:AlternateContent xmlns:x12ac="http://schemas.microsoft.com/office/spreadsheetml/2011/1/ac" xmlns:mc="http://schemas.openxmlformats.org/markup-compatibility/2006">
        <mc:Choice Requires="x12ac">
          <x12ac:list>3%," 4,5%",</x12ac:list>
        </mc:Choice>
        <mc:Fallback>
          <formula1>"3%, 4,5%,"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R.T._usd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 Leonardo BRSP</dc:creator>
  <cp:lastModifiedBy>Josué Jofre</cp:lastModifiedBy>
  <dcterms:created xsi:type="dcterms:W3CDTF">2022-12-15T14:33:33Z</dcterms:created>
  <dcterms:modified xsi:type="dcterms:W3CDTF">2026-09-16T11:09:47Z</dcterms:modified>
</cp:coreProperties>
</file>