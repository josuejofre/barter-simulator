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ngenta-my.sharepoint.com/personal/alessandra_monteiro_syngenta_com/Documents/Área de Trabalho/"/>
    </mc:Choice>
  </mc:AlternateContent>
  <xr:revisionPtr revIDLastSave="2" documentId="8_{14D1CDE4-CD89-4227-8582-136824AFE95D}" xr6:coauthVersionLast="47" xr6:coauthVersionMax="47" xr10:uidLastSave="{84D5AF57-F6F9-4F58-BA9D-BA833F426E02}"/>
  <bookViews>
    <workbookView xWindow="28680" yWindow="-120" windowWidth="29040" windowHeight="15720" xr2:uid="{F25EA2FC-A4EE-45A8-A6DD-C7A65B9455AD}"/>
  </bookViews>
  <sheets>
    <sheet name="Ref" sheetId="1" r:id="rId1"/>
  </sheets>
  <externalReferences>
    <externalReference r:id="rId2"/>
  </externalReferences>
  <definedNames>
    <definedName name="Praças">OFFSET('[1]Update Frete'!#REF!,0,0,COUNTIF('[1]Update Frete'!#REF!,"&lt;&gt;0"),1)</definedName>
    <definedName name="UF">OFFSET('[1]Update Frete'!#REF!,0,0,COUNTIF('[1]Update Frete'!#REF!,"&lt;&gt;0"),1)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1" l="1"/>
  <c r="E3" i="1"/>
</calcChain>
</file>

<file path=xl/sharedStrings.xml><?xml version="1.0" encoding="utf-8"?>
<sst xmlns="http://schemas.openxmlformats.org/spreadsheetml/2006/main" count="105" uniqueCount="39">
  <si>
    <t>Estado</t>
  </si>
  <si>
    <t>Funrural
Comercialização</t>
  </si>
  <si>
    <t>Funrural
Folha</t>
  </si>
  <si>
    <t>Outros impostos
Base NF</t>
  </si>
  <si>
    <t>Outros impostos
base UPF (Por TON)</t>
  </si>
  <si>
    <t>Taxa UPF</t>
  </si>
  <si>
    <t>Dolar Ref</t>
  </si>
  <si>
    <t>Imposto</t>
  </si>
  <si>
    <t>Valor</t>
  </si>
  <si>
    <t>Observação</t>
  </si>
  <si>
    <t>Recolhimento</t>
  </si>
  <si>
    <t>RO</t>
  </si>
  <si>
    <t>Funrural</t>
  </si>
  <si>
    <t>1,63% (sobre produção)
0,2% (se for desconto em folha)</t>
  </si>
  <si>
    <t>MT</t>
  </si>
  <si>
    <t>MA</t>
  </si>
  <si>
    <t>FETHAB</t>
  </si>
  <si>
    <t>10% do valor da UPF|MT</t>
  </si>
  <si>
    <t>UPF | MT atual = 243,49 / to</t>
  </si>
  <si>
    <t>TO</t>
  </si>
  <si>
    <t>FETHAB adicional</t>
  </si>
  <si>
    <t>PI</t>
  </si>
  <si>
    <t>IAGRO</t>
  </si>
  <si>
    <t>1,15% do valor da UPF|MT</t>
  </si>
  <si>
    <t>BA</t>
  </si>
  <si>
    <t>SP</t>
  </si>
  <si>
    <t>MG</t>
  </si>
  <si>
    <t>FDI</t>
  </si>
  <si>
    <t>Em cima valor NF</t>
  </si>
  <si>
    <t>RS</t>
  </si>
  <si>
    <t>MS</t>
  </si>
  <si>
    <t>PR</t>
  </si>
  <si>
    <t>GO</t>
  </si>
  <si>
    <t>FUNDEMS</t>
  </si>
  <si>
    <t>2,8% do valor da UPF | MS</t>
  </si>
  <si>
    <t>UFERMS | MS atual = 52,98 / to</t>
  </si>
  <si>
    <t>FUNDERSUL</t>
  </si>
  <si>
    <t>49,20% do valor da UPF | MS</t>
  </si>
  <si>
    <t>FUNDEINFRA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</si>
</sst>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.0000_);_(* \(#,##0.00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64" fontId="0" fillId="0" borderId="0" xfId="1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64" fontId="0" fillId="0" borderId="0" xfId="1" applyFont="1"/>
    <xf numFmtId="0" fontId="0" fillId="0" borderId="0" xfId="0" applyAlignment="1">
      <alignment horizontal="left" vertical="center" wrapText="1"/>
    </xf>
    <xf numFmtId="10" fontId="0" fillId="0" borderId="0" xfId="0" applyNumberFormat="1"/>
    <xf numFmtId="1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left" vertical="center"/>
    </xf>
    <xf numFmtId="43" fontId="0" fillId="0" borderId="0" xfId="0" applyNumberFormat="1"/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5" fontId="0" fillId="3" borderId="0" xfId="1" applyNumberFormat="1" applyFont="1" applyFill="1" applyAlignment="1">
      <alignment horizontal="center" vertical="center"/>
    </xf>
    <xf numFmtId="164" fontId="0" fillId="3" borderId="0" xfId="1" applyFont="1" applyFill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UTRADE\NUSOYA\Controle%20de%20Compras\Recorrencia%20de%20so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Provisão Campanhas"/>
      <sheetName val="Sheet7"/>
      <sheetName val="Sheet1"/>
      <sheetName val="Relatório Ofertas Valores - 202"/>
      <sheetName val="Acelera Nutrade"/>
      <sheetName val="Evolução Semanal"/>
      <sheetName val="Sheet1 (2)"/>
      <sheetName val="Sheet3"/>
      <sheetName val="Sheet2"/>
      <sheetName val="Base"/>
      <sheetName val="Resumo Originação"/>
      <sheetName val="Update Frete"/>
      <sheetName val="Relatorio Matth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500A-5AD6-458E-953B-06520C2567A9}">
  <dimension ref="A1:O25"/>
  <sheetViews>
    <sheetView showGridLines="0" tabSelected="1" zoomScale="101" workbookViewId="0">
      <selection activeCell="P11" sqref="P11"/>
    </sheetView>
  </sheetViews>
  <sheetFormatPr defaultRowHeight="15" x14ac:dyDescent="0.25"/>
  <cols>
    <col min="1" max="1" width="8.28515625" bestFit="1" customWidth="1"/>
    <col min="2" max="2" width="15.7109375" customWidth="1"/>
    <col min="3" max="3" width="8.85546875" bestFit="1" customWidth="1"/>
    <col min="4" max="4" width="15.5703125" style="5" customWidth="1"/>
    <col min="5" max="5" width="18" customWidth="1"/>
    <col min="6" max="6" width="4.140625" customWidth="1"/>
    <col min="7" max="7" width="9.7109375" bestFit="1" customWidth="1"/>
    <col min="11" max="11" width="0" hidden="1" customWidth="1"/>
    <col min="12" max="12" width="15.7109375" hidden="1" customWidth="1"/>
    <col min="13" max="13" width="34" hidden="1" customWidth="1"/>
    <col min="14" max="14" width="48.28515625" hidden="1" customWidth="1"/>
    <col min="15" max="15" width="13.5703125" hidden="1" customWidth="1"/>
  </cols>
  <sheetData>
    <row r="1" spans="1:15" ht="4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1" t="s">
        <v>5</v>
      </c>
      <c r="H1" s="1" t="s">
        <v>6</v>
      </c>
      <c r="K1" s="1" t="s">
        <v>0</v>
      </c>
      <c r="L1" s="4" t="s">
        <v>7</v>
      </c>
      <c r="M1" s="1" t="s">
        <v>8</v>
      </c>
      <c r="N1" s="4" t="s">
        <v>9</v>
      </c>
      <c r="O1" s="1" t="s">
        <v>10</v>
      </c>
    </row>
    <row r="2" spans="1:15" ht="30" x14ac:dyDescent="0.25">
      <c r="A2" s="5" t="s">
        <v>11</v>
      </c>
      <c r="B2" s="6">
        <v>1.6299999999999999E-2</v>
      </c>
      <c r="C2" s="6">
        <v>2E-3</v>
      </c>
      <c r="D2" s="7">
        <v>0</v>
      </c>
      <c r="E2" s="3">
        <v>0</v>
      </c>
      <c r="F2" s="3"/>
      <c r="H2" s="8">
        <v>5.5</v>
      </c>
      <c r="K2" s="5" t="s">
        <v>11</v>
      </c>
      <c r="L2" s="6" t="s">
        <v>12</v>
      </c>
      <c r="M2" s="6">
        <v>1.6299999999999999E-2</v>
      </c>
      <c r="N2" s="9" t="s">
        <v>13</v>
      </c>
      <c r="O2" s="5" t="s">
        <v>10</v>
      </c>
    </row>
    <row r="3" spans="1:15" ht="30" x14ac:dyDescent="0.25">
      <c r="A3" s="5" t="s">
        <v>14</v>
      </c>
      <c r="B3" s="6">
        <v>1.6299999999999999E-2</v>
      </c>
      <c r="C3" s="6">
        <v>2E-3</v>
      </c>
      <c r="D3" s="7">
        <v>0</v>
      </c>
      <c r="E3" s="8">
        <f>(G3*10%+G3*10%+1.15%*G3)</f>
        <v>51.498135000000005</v>
      </c>
      <c r="F3" s="3"/>
      <c r="G3" s="17">
        <v>243.49</v>
      </c>
      <c r="H3" s="8">
        <v>5.5</v>
      </c>
      <c r="K3" s="5" t="s">
        <v>14</v>
      </c>
      <c r="L3" s="6" t="s">
        <v>12</v>
      </c>
      <c r="M3" s="6">
        <v>1.6299999999999999E-2</v>
      </c>
      <c r="N3" s="9" t="s">
        <v>13</v>
      </c>
      <c r="O3" s="5" t="s">
        <v>10</v>
      </c>
    </row>
    <row r="4" spans="1:15" x14ac:dyDescent="0.25">
      <c r="A4" s="5" t="s">
        <v>15</v>
      </c>
      <c r="B4" s="6">
        <v>1.6299999999999999E-2</v>
      </c>
      <c r="C4" s="6">
        <v>2E-3</v>
      </c>
      <c r="D4" s="7">
        <v>0</v>
      </c>
      <c r="E4" s="3">
        <v>0</v>
      </c>
      <c r="F4" s="3"/>
      <c r="H4" s="8">
        <v>5.5</v>
      </c>
      <c r="K4" s="5" t="s">
        <v>14</v>
      </c>
      <c r="L4" s="6" t="s">
        <v>16</v>
      </c>
      <c r="M4" s="6" t="s">
        <v>17</v>
      </c>
      <c r="N4" s="9" t="s">
        <v>18</v>
      </c>
      <c r="O4" s="5" t="s">
        <v>10</v>
      </c>
    </row>
    <row r="5" spans="1:15" x14ac:dyDescent="0.25">
      <c r="A5" s="5" t="s">
        <v>19</v>
      </c>
      <c r="B5" s="6">
        <v>1.6299999999999999E-2</v>
      </c>
      <c r="C5" s="6">
        <v>2E-3</v>
      </c>
      <c r="D5" s="7">
        <v>0</v>
      </c>
      <c r="E5" s="3">
        <v>0</v>
      </c>
      <c r="F5" s="3"/>
      <c r="H5" s="8">
        <v>5.5</v>
      </c>
      <c r="K5" s="5" t="s">
        <v>14</v>
      </c>
      <c r="L5" s="6" t="s">
        <v>20</v>
      </c>
      <c r="M5" s="6" t="s">
        <v>17</v>
      </c>
      <c r="N5" s="9" t="s">
        <v>18</v>
      </c>
      <c r="O5" s="5" t="s">
        <v>10</v>
      </c>
    </row>
    <row r="6" spans="1:15" x14ac:dyDescent="0.25">
      <c r="A6" s="5" t="s">
        <v>21</v>
      </c>
      <c r="B6" s="6">
        <v>1.6299999999999999E-2</v>
      </c>
      <c r="C6" s="6">
        <v>2E-3</v>
      </c>
      <c r="D6" s="7">
        <v>1.2E-2</v>
      </c>
      <c r="E6" s="3">
        <v>0</v>
      </c>
      <c r="F6" s="3"/>
      <c r="H6" s="8">
        <v>5.5</v>
      </c>
      <c r="K6" s="5" t="s">
        <v>14</v>
      </c>
      <c r="L6" s="6" t="s">
        <v>22</v>
      </c>
      <c r="M6" s="6" t="s">
        <v>23</v>
      </c>
      <c r="N6" s="9" t="s">
        <v>18</v>
      </c>
      <c r="O6" s="5" t="s">
        <v>10</v>
      </c>
    </row>
    <row r="7" spans="1:15" ht="30" x14ac:dyDescent="0.25">
      <c r="A7" s="5" t="s">
        <v>24</v>
      </c>
      <c r="B7" s="6">
        <v>1.6299999999999999E-2</v>
      </c>
      <c r="C7" s="6">
        <v>2E-3</v>
      </c>
      <c r="D7" s="7">
        <v>0</v>
      </c>
      <c r="E7" s="3">
        <v>0</v>
      </c>
      <c r="F7" s="3"/>
      <c r="H7" s="8">
        <v>5.5</v>
      </c>
      <c r="K7" s="5" t="s">
        <v>15</v>
      </c>
      <c r="L7" s="6" t="s">
        <v>12</v>
      </c>
      <c r="M7" s="6">
        <v>1.6299999999999999E-2</v>
      </c>
      <c r="N7" s="9" t="s">
        <v>13</v>
      </c>
      <c r="O7" s="5" t="s">
        <v>10</v>
      </c>
    </row>
    <row r="8" spans="1:15" ht="30" x14ac:dyDescent="0.25">
      <c r="A8" s="5" t="s">
        <v>25</v>
      </c>
      <c r="B8" s="6">
        <v>1.6299999999999999E-2</v>
      </c>
      <c r="C8" s="6">
        <v>2E-3</v>
      </c>
      <c r="D8" s="7">
        <v>0</v>
      </c>
      <c r="E8" s="3">
        <v>0</v>
      </c>
      <c r="F8" s="3"/>
      <c r="H8" s="8">
        <v>5.5</v>
      </c>
      <c r="K8" s="5" t="s">
        <v>19</v>
      </c>
      <c r="L8" s="6" t="s">
        <v>12</v>
      </c>
      <c r="M8" s="6">
        <v>1.6299999999999999E-2</v>
      </c>
      <c r="N8" s="9" t="s">
        <v>13</v>
      </c>
      <c r="O8" s="5" t="s">
        <v>10</v>
      </c>
    </row>
    <row r="9" spans="1:15" x14ac:dyDescent="0.25">
      <c r="A9" s="5" t="s">
        <v>26</v>
      </c>
      <c r="B9" s="6">
        <v>1.6299999999999999E-2</v>
      </c>
      <c r="C9" s="6">
        <v>2E-3</v>
      </c>
      <c r="D9" s="7">
        <v>0</v>
      </c>
      <c r="E9" s="3">
        <v>0</v>
      </c>
      <c r="F9" s="3"/>
      <c r="H9" s="8">
        <v>5.5</v>
      </c>
      <c r="K9" s="5" t="s">
        <v>21</v>
      </c>
      <c r="L9" s="6" t="s">
        <v>27</v>
      </c>
      <c r="M9" s="6">
        <v>1.2E-2</v>
      </c>
      <c r="N9" s="9" t="s">
        <v>28</v>
      </c>
      <c r="O9" s="5" t="s">
        <v>10</v>
      </c>
    </row>
    <row r="10" spans="1:15" ht="30" x14ac:dyDescent="0.25">
      <c r="A10" s="5" t="s">
        <v>29</v>
      </c>
      <c r="B10" s="6">
        <v>1.6299999999999999E-2</v>
      </c>
      <c r="C10" s="6">
        <v>2E-3</v>
      </c>
      <c r="D10" s="7">
        <v>0</v>
      </c>
      <c r="E10" s="3">
        <v>0</v>
      </c>
      <c r="F10" s="3"/>
      <c r="H10" s="8">
        <v>5.5</v>
      </c>
      <c r="K10" s="5" t="s">
        <v>21</v>
      </c>
      <c r="L10" s="6" t="s">
        <v>12</v>
      </c>
      <c r="M10" s="6">
        <v>1.6299999999999999E-2</v>
      </c>
      <c r="N10" s="9" t="s">
        <v>13</v>
      </c>
      <c r="O10" s="5" t="s">
        <v>10</v>
      </c>
    </row>
    <row r="11" spans="1:15" ht="30" x14ac:dyDescent="0.25">
      <c r="A11" s="5" t="s">
        <v>30</v>
      </c>
      <c r="B11" s="6">
        <v>1.6299999999999999E-2</v>
      </c>
      <c r="C11" s="6">
        <v>2E-3</v>
      </c>
      <c r="D11" s="7">
        <v>0</v>
      </c>
      <c r="E11" s="8">
        <f>(G11*2.8%+G11*49.2%)</f>
        <v>27.549599999999998</v>
      </c>
      <c r="F11" s="3"/>
      <c r="G11" s="18">
        <v>52.98</v>
      </c>
      <c r="H11" s="8">
        <v>5.5</v>
      </c>
      <c r="K11" s="5" t="s">
        <v>24</v>
      </c>
      <c r="L11" s="6" t="s">
        <v>12</v>
      </c>
      <c r="M11" s="6">
        <v>1.6299999999999999E-2</v>
      </c>
      <c r="N11" s="9" t="s">
        <v>13</v>
      </c>
      <c r="O11" s="5" t="s">
        <v>10</v>
      </c>
    </row>
    <row r="12" spans="1:15" ht="30" x14ac:dyDescent="0.25">
      <c r="A12" s="5" t="s">
        <v>31</v>
      </c>
      <c r="B12" s="6">
        <v>1.6299999999999999E-2</v>
      </c>
      <c r="C12" s="6">
        <v>2E-3</v>
      </c>
      <c r="D12" s="7">
        <v>0</v>
      </c>
      <c r="E12" s="8">
        <v>0</v>
      </c>
      <c r="F12" s="3"/>
      <c r="H12" s="8">
        <v>5.5</v>
      </c>
      <c r="K12" s="5" t="s">
        <v>25</v>
      </c>
      <c r="L12" s="6" t="s">
        <v>12</v>
      </c>
      <c r="M12" s="6">
        <v>1.6299999999999999E-2</v>
      </c>
      <c r="N12" s="9" t="s">
        <v>13</v>
      </c>
      <c r="O12" s="5" t="s">
        <v>10</v>
      </c>
    </row>
    <row r="13" spans="1:15" ht="30" x14ac:dyDescent="0.25">
      <c r="A13" s="5" t="s">
        <v>32</v>
      </c>
      <c r="B13" s="6">
        <v>1.6299999999999999E-2</v>
      </c>
      <c r="C13" s="6">
        <v>2E-3</v>
      </c>
      <c r="D13" s="7">
        <v>0</v>
      </c>
      <c r="E13" s="8">
        <v>0</v>
      </c>
      <c r="F13" s="3"/>
      <c r="H13" s="8">
        <v>5.5</v>
      </c>
      <c r="K13" s="5" t="s">
        <v>26</v>
      </c>
      <c r="L13" s="6" t="s">
        <v>12</v>
      </c>
      <c r="M13" s="6">
        <v>1.6299999999999999E-2</v>
      </c>
      <c r="N13" s="9" t="s">
        <v>13</v>
      </c>
      <c r="O13" s="5" t="s">
        <v>10</v>
      </c>
    </row>
    <row r="14" spans="1:15" ht="30" x14ac:dyDescent="0.25">
      <c r="K14" s="5" t="s">
        <v>29</v>
      </c>
      <c r="L14" s="6" t="s">
        <v>12</v>
      </c>
      <c r="M14" s="6">
        <v>1.6299999999999999E-2</v>
      </c>
      <c r="N14" s="9" t="s">
        <v>13</v>
      </c>
      <c r="O14" s="5" t="s">
        <v>10</v>
      </c>
    </row>
    <row r="15" spans="1:15" ht="30" x14ac:dyDescent="0.25">
      <c r="K15" s="5" t="s">
        <v>30</v>
      </c>
      <c r="L15" s="6" t="s">
        <v>12</v>
      </c>
      <c r="M15" s="6">
        <v>1.6299999999999999E-2</v>
      </c>
      <c r="N15" s="9" t="s">
        <v>13</v>
      </c>
      <c r="O15" s="5" t="s">
        <v>10</v>
      </c>
    </row>
    <row r="16" spans="1:15" x14ac:dyDescent="0.25">
      <c r="B16" s="10"/>
      <c r="C16" s="3"/>
      <c r="K16" s="5" t="s">
        <v>30</v>
      </c>
      <c r="L16" s="11" t="s">
        <v>33</v>
      </c>
      <c r="M16" s="12" t="s">
        <v>34</v>
      </c>
      <c r="N16" s="9" t="s">
        <v>35</v>
      </c>
      <c r="O16" s="5" t="s">
        <v>10</v>
      </c>
    </row>
    <row r="17" spans="1:15" x14ac:dyDescent="0.25">
      <c r="A17" s="5"/>
      <c r="C17" s="13"/>
      <c r="K17" s="5" t="s">
        <v>30</v>
      </c>
      <c r="L17" s="11" t="s">
        <v>36</v>
      </c>
      <c r="M17" s="12" t="s">
        <v>37</v>
      </c>
      <c r="N17" s="9" t="s">
        <v>35</v>
      </c>
      <c r="O17" s="5" t="s">
        <v>10</v>
      </c>
    </row>
    <row r="18" spans="1:15" ht="30" x14ac:dyDescent="0.25">
      <c r="C18" s="13"/>
      <c r="K18" s="5" t="s">
        <v>31</v>
      </c>
      <c r="L18" s="6" t="s">
        <v>12</v>
      </c>
      <c r="M18" s="6">
        <v>1.6299999999999999E-2</v>
      </c>
      <c r="N18" s="9" t="s">
        <v>13</v>
      </c>
      <c r="O18" s="5" t="s">
        <v>10</v>
      </c>
    </row>
    <row r="19" spans="1:15" x14ac:dyDescent="0.25">
      <c r="K19" s="5" t="s">
        <v>32</v>
      </c>
      <c r="L19" s="6" t="s">
        <v>38</v>
      </c>
      <c r="M19" s="6">
        <v>1.6500000000000001E-2</v>
      </c>
      <c r="N19" s="9" t="s">
        <v>28</v>
      </c>
      <c r="O19" s="5" t="s">
        <v>10</v>
      </c>
    </row>
    <row r="20" spans="1:15" ht="30" x14ac:dyDescent="0.25">
      <c r="K20" s="14" t="s">
        <v>32</v>
      </c>
      <c r="L20" s="15" t="s">
        <v>12</v>
      </c>
      <c r="M20" s="15">
        <v>1.6299999999999999E-2</v>
      </c>
      <c r="N20" s="16" t="s">
        <v>13</v>
      </c>
      <c r="O20" s="14" t="s">
        <v>10</v>
      </c>
    </row>
    <row r="22" spans="1:15" x14ac:dyDescent="0.25">
      <c r="K22" s="5"/>
    </row>
    <row r="23" spans="1:15" x14ac:dyDescent="0.25">
      <c r="K23" s="5"/>
    </row>
    <row r="25" spans="1:15" x14ac:dyDescent="0.25">
      <c r="K25" s="5"/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Monteiro Alessandra BRSP</dc:creator>
  <cp:lastModifiedBy>Monteiro Alessandra BRSP</cp:lastModifiedBy>
  <dcterms:created xsi:type="dcterms:W3CDTF">2026-07-28T13:01:26Z</dcterms:created>
  <dcterms:modified xsi:type="dcterms:W3CDTF">2026-07-28T16:50:23Z</dcterms:modified>
</cp:coreProperties>
</file>