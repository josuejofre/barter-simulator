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syngenta.sharepoint.com/sites/BRSydeProduct/Shared Documents/General/Squads/Originação-Pagamento/Documentos Compartilhados/"/>
    </mc:Choice>
  </mc:AlternateContent>
  <xr:revisionPtr revIDLastSave="0" documentId="8_{E926B2C4-9780-4D5D-B8E0-1DBD9862094A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Campanhas" sheetId="5" r:id="rId1"/>
    <sheet name="Taxas" sheetId="1" r:id="rId2"/>
    <sheet name="Simulador" sheetId="2" r:id="rId3"/>
    <sheet name="Feriad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6" i="1" l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52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L35" i="1"/>
  <c r="L36" i="1"/>
  <c r="L37" i="1"/>
  <c r="M35" i="1"/>
  <c r="M36" i="1"/>
  <c r="M3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M13" i="1"/>
  <c r="M7" i="1"/>
  <c r="M8" i="1"/>
  <c r="M4" i="1"/>
  <c r="B16" i="2"/>
  <c r="F21" i="2" a="1"/>
  <c r="F21" i="2" s="1"/>
  <c r="D21" i="2" a="1"/>
  <c r="D21" i="2" s="1"/>
  <c r="B21" i="2" a="1"/>
  <c r="B21" i="2" s="1"/>
  <c r="F20" i="2" a="1"/>
  <c r="F20" i="2" s="1"/>
  <c r="D20" i="2" a="1"/>
  <c r="D20" i="2" s="1"/>
  <c r="B20" i="2" a="1"/>
  <c r="B20" i="2" s="1"/>
  <c r="F22" i="2" a="1"/>
  <c r="F22" i="2" s="1"/>
  <c r="D22" i="2" a="1"/>
  <c r="D22" i="2" s="1"/>
  <c r="B22" i="2" a="1"/>
  <c r="B22" i="2" s="1"/>
  <c r="F18" i="2" a="1"/>
  <c r="F18" i="2" s="1"/>
  <c r="D18" i="2" a="1"/>
  <c r="D18" i="2" s="1"/>
  <c r="B18" i="2" a="1"/>
  <c r="B18" i="2" s="1"/>
  <c r="F17" i="2" a="1"/>
  <c r="F17" i="2" s="1"/>
  <c r="D17" i="2" a="1"/>
  <c r="D17" i="2" s="1"/>
  <c r="B17" i="2" a="1"/>
  <c r="B17" i="2" s="1"/>
  <c r="F13" i="2"/>
  <c r="D13" i="2"/>
  <c r="B13" i="2"/>
  <c r="M6" i="1"/>
  <c r="M9" i="1"/>
  <c r="M10" i="1"/>
  <c r="M11" i="1"/>
  <c r="M12" i="1"/>
  <c r="M14" i="1"/>
  <c r="M15" i="1"/>
  <c r="M16" i="1"/>
  <c r="M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L27" i="1"/>
  <c r="M28" i="1"/>
  <c r="L28" i="1"/>
  <c r="L29" i="1"/>
  <c r="M30" i="1"/>
  <c r="L30" i="1"/>
  <c r="M31" i="1"/>
  <c r="L31" i="1"/>
  <c r="M32" i="1"/>
  <c r="L32" i="1"/>
  <c r="M33" i="1"/>
  <c r="L33" i="1"/>
  <c r="M34" i="1"/>
  <c r="L34" i="1"/>
  <c r="M38" i="1"/>
  <c r="L38" i="1"/>
  <c r="M39" i="1"/>
  <c r="L39" i="1"/>
  <c r="M40" i="1"/>
  <c r="L40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D8" i="2" a="1"/>
  <c r="D8" i="2" s="1"/>
  <c r="M2" i="1"/>
  <c r="M3" i="1"/>
  <c r="M5" i="1"/>
  <c r="F16" i="2"/>
  <c r="D16" i="2"/>
  <c r="B8" i="2" l="1" a="1"/>
  <c r="B8" i="2" s="1"/>
  <c r="B24" i="2" s="1"/>
  <c r="D24" i="2" l="1"/>
  <c r="D19" i="2" s="1"/>
  <c r="D27" i="2" s="1"/>
  <c r="D29" i="2" s="1" a="1"/>
  <c r="D29" i="2" s="1"/>
  <c r="B25" i="2"/>
  <c r="B26" i="2" s="1"/>
  <c r="B19" i="2" s="1" a="1"/>
  <c r="B19" i="2" s="1"/>
  <c r="B27" i="2" s="1"/>
  <c r="F25" i="2"/>
  <c r="F26" i="2" s="1"/>
  <c r="D25" i="2"/>
  <c r="D26" i="2" s="1"/>
  <c r="D23" i="2"/>
  <c r="F23" i="2"/>
  <c r="F24" i="2"/>
  <c r="F19" i="2" s="1" a="1"/>
  <c r="F19" i="2" s="1"/>
  <c r="F27" i="2" s="1"/>
  <c r="F29" i="2" s="1" a="1"/>
  <c r="F29" i="2" s="1"/>
  <c r="B23" i="2"/>
  <c r="B29" i="2" l="1" a="1"/>
  <c r="B29" i="2" s="1"/>
  <c r="B28" i="2"/>
  <c r="F28" i="2"/>
  <c r="D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 Silva Junior Sergio Luis (ext) BRSP</author>
  </authors>
  <commentList>
    <comment ref="A1" authorId="0" shapeId="0" xr:uid="{811DBB17-35D4-4C86-A854-4AED87E77721}">
      <text>
        <r>
          <rPr>
            <sz val="11"/>
            <color theme="1"/>
            <rFont val="Aptos Narrow"/>
            <family val="2"/>
            <scheme val="minor"/>
          </rPr>
          <t>Nome da Campanha específica</t>
        </r>
      </text>
    </comment>
    <comment ref="B1" authorId="0" shapeId="0" xr:uid="{34CFA1C5-F7EB-4DE2-AF20-64F27E9808EB}">
      <text>
        <r>
          <rPr>
            <sz val="11"/>
            <color theme="1"/>
            <rFont val="Aptos Narrow"/>
            <family val="2"/>
            <scheme val="minor"/>
          </rPr>
          <t xml:space="preserve">INFORME DATA COMPLETA MAS VAMOS USAR SOMENTE O MÊS E ANO
</t>
        </r>
      </text>
    </comment>
    <comment ref="C1" authorId="0" shapeId="0" xr:uid="{A008F23A-E01B-4949-B0FB-87D9BC365F69}">
      <text>
        <r>
          <rPr>
            <sz val="11"/>
            <color theme="1"/>
            <rFont val="Aptos Narrow"/>
            <family val="2"/>
            <scheme val="minor"/>
          </rPr>
          <t>Data de vencimento do financiamento (Quando o cliente irá pagar)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 Silva Junior Sergio Luis (ext) BRSP</author>
  </authors>
  <commentList>
    <comment ref="A1" authorId="0" shapeId="0" xr:uid="{EA65766D-53B5-40B2-9D22-FF1EEFEB67C8}">
      <text>
        <r>
          <rPr>
            <sz val="11"/>
            <color theme="1"/>
            <rFont val="Aptos Narrow"/>
            <family val="2"/>
            <scheme val="minor"/>
          </rPr>
          <t>Nome da Campanha específica</t>
        </r>
      </text>
    </comment>
    <comment ref="B1" authorId="0" shapeId="0" xr:uid="{C85F18B7-724C-472E-AE3B-191BBF5DF44C}">
      <text>
        <r>
          <rPr>
            <sz val="11"/>
            <color theme="1"/>
            <rFont val="Aptos Narrow"/>
            <family val="2"/>
            <scheme val="minor"/>
          </rPr>
          <t>Valores possíveis: 
- Syde
- Fiso
- Syngenta</t>
        </r>
      </text>
    </comment>
    <comment ref="C1" authorId="0" shapeId="0" xr:uid="{B3BB44C6-7BD4-4C30-A500-0D0F17D2B988}">
      <text>
        <r>
          <rPr>
            <sz val="11"/>
            <color theme="1"/>
            <rFont val="Aptos Narrow"/>
            <family val="2"/>
            <scheme val="minor"/>
          </rPr>
          <t>Se a taxa vale para qualquer compra: 
Deixar em branco
Se vale para produtos específicos: 
Preencher qual o produto</t>
        </r>
      </text>
    </comment>
    <comment ref="D1" authorId="0" shapeId="0" xr:uid="{73BBF59B-ACF2-438C-8882-698F0B8F9C0E}">
      <text>
        <r>
          <rPr>
            <sz val="11"/>
            <color rgb="FF000000"/>
            <rFont val="Aptos Narrow"/>
            <family val="2"/>
          </rPr>
          <t xml:space="preserve">Conteúdo Possível: 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 xml:space="preserve">- Real
</t>
        </r>
        <r>
          <rPr>
            <sz val="11"/>
            <color rgb="FF000000"/>
            <rFont val="Aptos Narrow"/>
            <family val="2"/>
          </rPr>
          <t>- Dolar</t>
        </r>
      </text>
    </comment>
    <comment ref="F1" authorId="0" shapeId="0" xr:uid="{F237E5DB-49AA-40F8-BEED-D629C31B3B5E}">
      <text>
        <r>
          <rPr>
            <sz val="11"/>
            <color theme="1"/>
            <rFont val="Aptos Narrow"/>
            <family val="2"/>
            <scheme val="minor"/>
          </rPr>
          <t>Valores aceitos: 
- Composto
- Simples</t>
        </r>
      </text>
    </comment>
    <comment ref="J1" authorId="0" shapeId="0" xr:uid="{4D3B5493-F1FA-487B-A2AE-E219B46915F4}">
      <text>
        <r>
          <rPr>
            <sz val="11"/>
            <color rgb="FF000000"/>
            <rFont val="Aptos Narrow"/>
            <family val="2"/>
          </rPr>
          <t>Vigência Comercial: De quando até quando os clientes podem fechar negócio nesta campanha</t>
        </r>
      </text>
    </comment>
    <comment ref="L1" authorId="0" shapeId="0" xr:uid="{1FE99DE9-96EB-486A-9D80-AE48BFAC9088}">
      <text>
        <r>
          <rPr>
            <sz val="11"/>
            <color rgb="FF000000"/>
            <rFont val="Aptos Narrow"/>
            <family val="2"/>
          </rPr>
          <t>Data de vencimento do financiamento (Quando o cliente irá pagar)</t>
        </r>
      </text>
    </comment>
    <comment ref="M1" authorId="0" shapeId="0" xr:uid="{7A1C8006-2507-42AB-BCFF-E6AD75B0D551}">
      <text>
        <r>
          <rPr>
            <sz val="11"/>
            <color rgb="FF000000"/>
            <rFont val="Aptos Narrow"/>
            <family val="2"/>
          </rPr>
          <t xml:space="preserve">INFORME DATA COMPLETA MAS VAMOS USAR SOMENTE O MÊS E ANO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tc={04CE6C74-D879-47EB-BE18-C80B090C1ED4}</author>
  </authors>
  <commentList>
    <comment ref="B7" authorId="0" shapeId="0" xr:uid="{04CE6C74-D879-47EB-BE18-C80B090C1ED4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precisa ser selecionavel. A campanha já deve trazer essa informação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E8F951-291A-4079-AE12-F295D6B69AB4}" keepAlive="1" name="Query - Tabela2" description="Conexão com a consulta 'Tabela2' na pasta de trabalho." type="5" refreshedVersion="0" background="1">
    <dbPr connection="Provider=Microsoft.Mashup.OleDb.1;Data Source=$Workbook$;Location=Tabela2;Extended Properties=&quot;&quot;" command="SELECT * FROM [Tabela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<sst xmlns="http://schemas.openxmlformats.org/spreadsheetml/2006/main" count="1831" uniqueCount="111">
  <si>
    <t>Campanha</t>
  </si>
  <si>
    <t>Desembolso</t>
  </si>
  <si>
    <t>Vencimento/Pagto</t>
  </si>
  <si>
    <t>Acelera Sul - PR/MS Black</t>
  </si>
  <si>
    <t>Acelera Sul - PR/MS Black +</t>
  </si>
  <si>
    <t>Acelera Sul - PR/MS Silver +</t>
  </si>
  <si>
    <t>Acelera Sul - PR/MS Silver</t>
  </si>
  <si>
    <t>Acelera Sul - RS/SC Black Venc. Maio</t>
  </si>
  <si>
    <t>Acelera Sul - RS/SC Black + Venc. Maio</t>
  </si>
  <si>
    <t>Acelera Sul - RS/SC Silver + Venc. Maio</t>
  </si>
  <si>
    <t>Acelera Sul - RS/SC Silver  Venc. Maio</t>
  </si>
  <si>
    <t>Acelera Sul - RS/SC Black Venc. Junho</t>
  </si>
  <si>
    <t>Acelera Sul - RS/SC Black + Venc. Junho</t>
  </si>
  <si>
    <t>Acelera Sul - RS/SC Silver + Venc. Junho</t>
  </si>
  <si>
    <t>Acelera Sul - RS/SC Silver  Venc. Junho</t>
  </si>
  <si>
    <t xml:space="preserve">Acelera Sul - PR/MS </t>
  </si>
  <si>
    <t>Acelera Sul - RS/SC  Venc. Maio</t>
  </si>
  <si>
    <t>Acelera Sul - RS/SC  Venc. Junho</t>
  </si>
  <si>
    <t>OTO Royal - Soja</t>
  </si>
  <si>
    <t>OTO Black - Soja</t>
  </si>
  <si>
    <t>OTO Silver - Soja</t>
  </si>
  <si>
    <t>OTO Royal - Milho</t>
  </si>
  <si>
    <t>OTO Black - Milho</t>
  </si>
  <si>
    <t>OTO Silver - Milho</t>
  </si>
  <si>
    <t>Verão</t>
  </si>
  <si>
    <t>Produto Financeiro</t>
  </si>
  <si>
    <t>Produto Agrícola</t>
  </si>
  <si>
    <t>Moeda</t>
  </si>
  <si>
    <t>Cálculo Período</t>
  </si>
  <si>
    <t>Tipo Juros</t>
  </si>
  <si>
    <t>Taxa (a.m.)</t>
  </si>
  <si>
    <t>Desconto Comercial (VPAN)</t>
  </si>
  <si>
    <t>Incentivo</t>
  </si>
  <si>
    <t>Início Vigência</t>
  </si>
  <si>
    <t>Fim Vigência</t>
  </si>
  <si>
    <t>Vencimento/Pagto CAMPANHA</t>
  </si>
  <si>
    <t>Desembolso CAMPANHA</t>
  </si>
  <si>
    <t>Desembolso Especifico Taxa</t>
  </si>
  <si>
    <t>Syde</t>
  </si>
  <si>
    <t>Crop</t>
  </si>
  <si>
    <t>Real</t>
  </si>
  <si>
    <t>Uteis</t>
  </si>
  <si>
    <t>Composto</t>
  </si>
  <si>
    <t>Fiso</t>
  </si>
  <si>
    <t>Corridos</t>
  </si>
  <si>
    <t>Simples</t>
  </si>
  <si>
    <t>Syngenta</t>
  </si>
  <si>
    <t>Bio</t>
  </si>
  <si>
    <t>Dolar</t>
  </si>
  <si>
    <t>Crop/ Seed Care</t>
  </si>
  <si>
    <t>Selo ESG Seed Care</t>
  </si>
  <si>
    <t>CAMPANHA</t>
  </si>
  <si>
    <t>Produto Agricola</t>
  </si>
  <si>
    <t>MOEDA</t>
  </si>
  <si>
    <t>DESEMBOLSO</t>
  </si>
  <si>
    <t>VENCIMENTO</t>
  </si>
  <si>
    <t>Valor Solicitado</t>
  </si>
  <si>
    <t>VALIDAÇÃO: QTD DE LINHAS RETORNADAS</t>
  </si>
  <si>
    <t>SYDE</t>
  </si>
  <si>
    <t>FISO</t>
  </si>
  <si>
    <t>SYNGENTA</t>
  </si>
  <si>
    <t>Desconto Comercial</t>
  </si>
  <si>
    <t>Taxa de Juros (a.m.)*</t>
  </si>
  <si>
    <t>VALOR (-) DESCONTO + JUROS</t>
  </si>
  <si>
    <t>Tipo de Juros</t>
  </si>
  <si>
    <t xml:space="preserve">Dias üteis ou Corridos? </t>
  </si>
  <si>
    <t>Qtd Dias Corridos</t>
  </si>
  <si>
    <t>Qtd Meses (P/ Dias Corridos)</t>
  </si>
  <si>
    <t>Qtd Dias Úteis</t>
  </si>
  <si>
    <t>Qtd Meses (Por dias úteis)</t>
  </si>
  <si>
    <t>Valor Final a Pagar</t>
  </si>
  <si>
    <t>% Custo da Operação</t>
  </si>
  <si>
    <t>% a.m</t>
  </si>
  <si>
    <t>Racional de Cálculo</t>
  </si>
  <si>
    <t>Juros Simples</t>
  </si>
  <si>
    <r>
      <rPr>
        <sz val="11"/>
        <color rgb="FF000000"/>
        <rFont val="Aptos Narrow"/>
        <scheme val="minor"/>
      </rPr>
      <t>Valor Final = (PV × (1 − DescontoComercial)) × (1 + taxa</t>
    </r>
    <r>
      <rPr>
        <sz val="11"/>
        <color rgb="FFBD5015"/>
        <rFont val="Aptos Narrow"/>
        <scheme val="minor"/>
      </rPr>
      <t xml:space="preserve"> </t>
    </r>
    <r>
      <rPr>
        <b/>
        <sz val="11"/>
        <color rgb="FFBD5015"/>
        <rFont val="Aptos Narrow"/>
        <scheme val="minor"/>
      </rPr>
      <t>× n</t>
    </r>
    <r>
      <rPr>
        <sz val="11"/>
        <color rgb="FF000000"/>
        <rFont val="Aptos Narrow"/>
        <scheme val="minor"/>
      </rPr>
      <t>) × (1 - Incentivo)</t>
    </r>
  </si>
  <si>
    <t>Juros Compostos</t>
  </si>
  <si>
    <r>
      <rPr>
        <sz val="11"/>
        <color rgb="FF000000"/>
        <rFont val="Aptos Narrow"/>
        <scheme val="minor"/>
      </rPr>
      <t>Valor Final = (PV × (1 − DescontoComercial)) × (1 + taxa)</t>
    </r>
    <r>
      <rPr>
        <b/>
        <sz val="11"/>
        <color rgb="FFBD5015"/>
        <rFont val="Aptos Narrow"/>
        <scheme val="minor"/>
      </rPr>
      <t>^n</t>
    </r>
    <r>
      <rPr>
        <sz val="11"/>
        <color rgb="FF000000"/>
        <rFont val="Aptos Narrow"/>
        <scheme val="minor"/>
      </rPr>
      <t xml:space="preserve"> × (1 - Incentivo)</t>
    </r>
  </si>
  <si>
    <t>Dias entre (Vencimento - Desembolso) - Finais de Semana - Feriados (Aba "Feriados") -1</t>
  </si>
  <si>
    <t>Qtd Meses por Dias Úteis</t>
  </si>
  <si>
    <t xml:space="preserve">Dias úteis / 22 dias (Equivalente a um mês) </t>
  </si>
  <si>
    <t>Qtd Meses por dias Corridos</t>
  </si>
  <si>
    <t xml:space="preserve">Dias Corridos (Vencimento - Desembolso) / 30dias (Equivalente a um mês) </t>
  </si>
  <si>
    <t xml:space="preserve">% a.m Juros Simples </t>
  </si>
  <si>
    <t>(VFP / PV − 1) / n</t>
  </si>
  <si>
    <t>% a.m Juros Composto</t>
  </si>
  <si>
    <t>VFP / PV)^(1/n) − 1</t>
  </si>
  <si>
    <r>
      <t>PV</t>
    </r>
    <r>
      <rPr>
        <sz val="11"/>
        <color theme="1"/>
        <rFont val="Aptos Narrow"/>
        <family val="2"/>
        <scheme val="minor"/>
      </rPr>
      <t xml:space="preserve"> = Valor Solicitado</t>
    </r>
  </si>
  <si>
    <r>
      <t>VF</t>
    </r>
    <r>
      <rPr>
        <sz val="11"/>
        <color theme="1"/>
        <rFont val="Aptos Narrow"/>
        <family val="2"/>
        <scheme val="minor"/>
      </rPr>
      <t xml:space="preserve"> = Valor Financiado (após desconto)</t>
    </r>
  </si>
  <si>
    <r>
      <t>VFP</t>
    </r>
    <r>
      <rPr>
        <sz val="11"/>
        <color theme="1"/>
        <rFont val="Aptos Narrow"/>
        <family val="2"/>
        <scheme val="minor"/>
      </rPr>
      <t xml:space="preserve"> = Valor Final a Pagar (já com juros e incentivo, se aplicável)</t>
    </r>
  </si>
  <si>
    <r>
      <rPr>
        <b/>
        <sz val="11"/>
        <color rgb="FF000000"/>
        <rFont val="Aptos Narrow"/>
        <scheme val="minor"/>
      </rPr>
      <t>n</t>
    </r>
    <r>
      <rPr>
        <sz val="11"/>
        <color rgb="FF000000"/>
        <rFont val="Aptos Narrow"/>
        <scheme val="minor"/>
      </rPr>
      <t xml:space="preserve"> = Quantidade de meses</t>
    </r>
  </si>
  <si>
    <t>Data</t>
  </si>
  <si>
    <t>Descrição</t>
  </si>
  <si>
    <t>quarta-feira</t>
  </si>
  <si>
    <t>Confraternização Universal</t>
  </si>
  <si>
    <t>segunda-feira</t>
  </si>
  <si>
    <t>Carnaval</t>
  </si>
  <si>
    <t>terça-feira</t>
  </si>
  <si>
    <t>sexta-feira</t>
  </si>
  <si>
    <t>Paixão de Cristo</t>
  </si>
  <si>
    <t>Tiradentes</t>
  </si>
  <si>
    <t>quinta-feira</t>
  </si>
  <si>
    <t>Dia do Trabalho</t>
  </si>
  <si>
    <t>Corpus Christi</t>
  </si>
  <si>
    <t>domingo</t>
  </si>
  <si>
    <t>Independência do Brasil</t>
  </si>
  <si>
    <r>
      <t>Nossa Sr.</t>
    </r>
    <r>
      <rPr>
        <vertAlign val="superscript"/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Aparecida - Padroeira do Brasil</t>
    </r>
  </si>
  <si>
    <t>Finados</t>
  </si>
  <si>
    <t>sábado</t>
  </si>
  <si>
    <t>Proclamação da República</t>
  </si>
  <si>
    <t>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</si>
</sst>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dd/mm/yy;@"/>
    <numFmt numFmtId="166" formatCode="[$-416]mmm\-yy;@"/>
    <numFmt numFmtId="167" formatCode="0.0000"/>
    <numFmt numFmtId="168" formatCode="&quot;R$&quot;\ #,##0.00"/>
    <numFmt numFmtId="169" formatCode="_-[$R$-416]\ * #,##0.00_-;\-[$R$-416]\ * #,##0.00_-;_-[$R$-416]\ * &quot;-&quot;??_-;_-@_-"/>
    <numFmt numFmtId="170" formatCode="0.0000%"/>
    <numFmt numFmtId="171" formatCode="0.00000%"/>
  </numFmts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BD5015"/>
      <name val="Aptos Narrow"/>
      <scheme val="minor"/>
    </font>
    <font>
      <sz val="11"/>
      <color rgb="FFBD5015"/>
      <name val="Aptos Narrow"/>
      <scheme val="minor"/>
    </font>
    <font>
      <sz val="11"/>
      <color theme="1"/>
      <name val="Aptos Narrow"/>
      <scheme val="minor"/>
    </font>
    <font>
      <sz val="9"/>
      <color rgb="FF000000"/>
      <name val="Arial"/>
      <family val="2"/>
    </font>
    <font>
      <vertAlign val="superscript"/>
      <sz val="9"/>
      <color rgb="FF000000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charset val="1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969696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 style="medium">
        <color rgb="FF969696"/>
      </right>
      <top/>
      <bottom style="medium">
        <color rgb="FF80808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1" fillId="2" borderId="0" xfId="0" applyFont="1" applyFill="1" applyAlignment="1">
      <alignment wrapText="1"/>
    </xf>
    <xf numFmtId="165" fontId="1" fillId="2" borderId="0" xfId="0" applyNumberFormat="1" applyFont="1" applyFill="1" applyAlignment="1">
      <alignment horizontal="center" wrapText="1"/>
    </xf>
    <xf numFmtId="10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2" fillId="4" borderId="0" xfId="0" applyFont="1" applyFill="1"/>
    <xf numFmtId="14" fontId="2" fillId="4" borderId="0" xfId="0" applyNumberFormat="1" applyFont="1" applyFill="1"/>
    <xf numFmtId="166" fontId="2" fillId="4" borderId="0" xfId="0" applyNumberFormat="1" applyFont="1" applyFill="1"/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/>
    <xf numFmtId="0" fontId="6" fillId="0" borderId="0" xfId="0" applyFont="1"/>
    <xf numFmtId="10" fontId="0" fillId="0" borderId="0" xfId="0" applyNumberFormat="1"/>
    <xf numFmtId="0" fontId="5" fillId="4" borderId="0" xfId="0" applyFont="1" applyFill="1"/>
    <xf numFmtId="0" fontId="7" fillId="3" borderId="0" xfId="0" applyFont="1" applyFill="1"/>
    <xf numFmtId="0" fontId="1" fillId="0" borderId="0" xfId="0" applyFont="1"/>
    <xf numFmtId="0" fontId="8" fillId="6" borderId="0" xfId="0" applyFont="1" applyFill="1" applyAlignment="1">
      <alignment wrapText="1"/>
    </xf>
    <xf numFmtId="0" fontId="7" fillId="8" borderId="0" xfId="0" applyFont="1" applyFill="1"/>
    <xf numFmtId="164" fontId="0" fillId="0" borderId="0" xfId="0" applyNumberFormat="1"/>
    <xf numFmtId="164" fontId="2" fillId="4" borderId="0" xfId="0" applyNumberFormat="1" applyFont="1" applyFill="1"/>
    <xf numFmtId="164" fontId="3" fillId="0" borderId="0" xfId="0" applyNumberFormat="1" applyFont="1"/>
    <xf numFmtId="0" fontId="9" fillId="0" borderId="0" xfId="0" applyFont="1"/>
    <xf numFmtId="0" fontId="13" fillId="0" borderId="0" xfId="0" applyFont="1"/>
    <xf numFmtId="0" fontId="10" fillId="0" borderId="0" xfId="0" applyFont="1"/>
    <xf numFmtId="164" fontId="3" fillId="3" borderId="0" xfId="0" applyNumberFormat="1" applyFont="1" applyFill="1"/>
    <xf numFmtId="0" fontId="3" fillId="10" borderId="0" xfId="0" applyFont="1" applyFill="1"/>
    <xf numFmtId="0" fontId="1" fillId="2" borderId="0" xfId="0" applyFont="1" applyFill="1"/>
    <xf numFmtId="14" fontId="1" fillId="2" borderId="0" xfId="0" applyNumberFormat="1" applyFont="1" applyFill="1" applyAlignment="1">
      <alignment wrapText="1"/>
    </xf>
    <xf numFmtId="10" fontId="1" fillId="9" borderId="0" xfId="0" applyNumberFormat="1" applyFont="1" applyFill="1"/>
    <xf numFmtId="14" fontId="14" fillId="11" borderId="1" xfId="0" applyNumberFormat="1" applyFont="1" applyFill="1" applyBorder="1" applyAlignment="1">
      <alignment wrapText="1"/>
    </xf>
    <xf numFmtId="0" fontId="14" fillId="11" borderId="2" xfId="0" applyFont="1" applyFill="1" applyBorder="1" applyAlignment="1">
      <alignment wrapText="1"/>
    </xf>
    <xf numFmtId="0" fontId="14" fillId="11" borderId="3" xfId="0" applyFont="1" applyFill="1" applyBorder="1" applyAlignment="1">
      <alignment wrapText="1"/>
    </xf>
    <xf numFmtId="14" fontId="14" fillId="11" borderId="4" xfId="0" applyNumberFormat="1" applyFont="1" applyFill="1" applyBorder="1" applyAlignment="1">
      <alignment wrapText="1"/>
    </xf>
    <xf numFmtId="0" fontId="14" fillId="11" borderId="5" xfId="0" applyFont="1" applyFill="1" applyBorder="1" applyAlignment="1">
      <alignment wrapText="1"/>
    </xf>
    <xf numFmtId="0" fontId="14" fillId="11" borderId="6" xfId="0" applyFont="1" applyFill="1" applyBorder="1" applyAlignment="1">
      <alignment wrapText="1"/>
    </xf>
    <xf numFmtId="14" fontId="14" fillId="12" borderId="4" xfId="0" applyNumberFormat="1" applyFont="1" applyFill="1" applyBorder="1" applyAlignment="1">
      <alignment wrapText="1"/>
    </xf>
    <xf numFmtId="0" fontId="14" fillId="12" borderId="5" xfId="0" applyFont="1" applyFill="1" applyBorder="1" applyAlignment="1">
      <alignment wrapText="1"/>
    </xf>
    <xf numFmtId="0" fontId="14" fillId="12" borderId="6" xfId="0" applyFont="1" applyFill="1" applyBorder="1" applyAlignment="1">
      <alignment wrapText="1"/>
    </xf>
    <xf numFmtId="167" fontId="0" fillId="0" borderId="0" xfId="0" applyNumberFormat="1"/>
    <xf numFmtId="14" fontId="0" fillId="0" borderId="0" xfId="0" applyNumberFormat="1" applyAlignment="1">
      <alignment horizontal="center"/>
    </xf>
    <xf numFmtId="10" fontId="0" fillId="13" borderId="0" xfId="0" applyNumberFormat="1" applyFill="1" applyAlignment="1">
      <alignment horizontal="center"/>
    </xf>
    <xf numFmtId="10" fontId="17" fillId="9" borderId="0" xfId="0" applyNumberFormat="1" applyFont="1" applyFill="1"/>
    <xf numFmtId="14" fontId="1" fillId="2" borderId="0" xfId="0" applyNumberFormat="1" applyFont="1" applyFill="1" applyAlignment="1">
      <alignment horizontal="center" wrapText="1"/>
    </xf>
    <xf numFmtId="168" fontId="0" fillId="0" borderId="0" xfId="0" applyNumberFormat="1"/>
    <xf numFmtId="10" fontId="18" fillId="0" borderId="0" xfId="0" applyNumberFormat="1" applyFont="1"/>
    <xf numFmtId="0" fontId="19" fillId="0" borderId="0" xfId="0" applyFont="1"/>
    <xf numFmtId="164" fontId="1" fillId="0" borderId="0" xfId="0" applyNumberFormat="1" applyFont="1"/>
    <xf numFmtId="164" fontId="1" fillId="2" borderId="0" xfId="0" applyNumberFormat="1" applyFont="1" applyFill="1"/>
    <xf numFmtId="169" fontId="1" fillId="0" borderId="0" xfId="0" applyNumberFormat="1" applyFont="1"/>
    <xf numFmtId="1" fontId="0" fillId="0" borderId="0" xfId="0" applyNumberFormat="1"/>
    <xf numFmtId="165" fontId="1" fillId="14" borderId="0" xfId="0" applyNumberFormat="1" applyFont="1" applyFill="1" applyAlignment="1">
      <alignment horizontal="center" wrapText="1"/>
    </xf>
    <xf numFmtId="170" fontId="1" fillId="9" borderId="0" xfId="0" applyNumberFormat="1" applyFont="1" applyFill="1"/>
    <xf numFmtId="171" fontId="1" fillId="9" borderId="0" xfId="0" applyNumberFormat="1" applyFont="1" applyFill="1"/>
    <xf numFmtId="0" fontId="0" fillId="9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10" fontId="0" fillId="3" borderId="0" xfId="0" applyNumberFormat="1" applyFill="1" applyAlignment="1">
      <alignment horizontal="center"/>
    </xf>
    <xf numFmtId="14" fontId="0" fillId="3" borderId="0" xfId="0" applyNumberFormat="1" applyFill="1"/>
    <xf numFmtId="1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15" borderId="0" xfId="0" applyFill="1"/>
    <xf numFmtId="10" fontId="0" fillId="15" borderId="0" xfId="0" applyNumberFormat="1" applyFill="1" applyAlignment="1">
      <alignment horizontal="left"/>
    </xf>
    <xf numFmtId="10" fontId="0" fillId="15" borderId="0" xfId="0" applyNumberFormat="1" applyFill="1" applyAlignment="1">
      <alignment horizontal="center"/>
    </xf>
    <xf numFmtId="14" fontId="0" fillId="15" borderId="0" xfId="0" applyNumberFormat="1" applyFill="1"/>
    <xf numFmtId="14" fontId="0" fillId="15" borderId="0" xfId="0" applyNumberFormat="1" applyFill="1" applyAlignment="1">
      <alignment horizontal="center"/>
    </xf>
    <xf numFmtId="165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left"/>
    </xf>
    <xf numFmtId="0" fontId="0" fillId="16" borderId="0" xfId="0" applyFill="1"/>
    <xf numFmtId="0" fontId="0" fillId="16" borderId="0" xfId="0" applyFill="1" applyAlignment="1">
      <alignment horizontal="left"/>
    </xf>
    <xf numFmtId="10" fontId="0" fillId="16" borderId="0" xfId="0" applyNumberFormat="1" applyFill="1" applyAlignment="1">
      <alignment horizontal="center"/>
    </xf>
    <xf numFmtId="14" fontId="0" fillId="16" borderId="0" xfId="0" applyNumberFormat="1" applyFill="1"/>
    <xf numFmtId="14" fontId="0" fillId="16" borderId="0" xfId="0" applyNumberFormat="1" applyFill="1" applyAlignment="1">
      <alignment horizontal="center"/>
    </xf>
    <xf numFmtId="165" fontId="0" fillId="16" borderId="0" xfId="0" applyNumberFormat="1" applyFill="1" applyAlignment="1">
      <alignment horizontal="center"/>
    </xf>
    <xf numFmtId="10" fontId="0" fillId="16" borderId="0" xfId="0" applyNumberFormat="1" applyFill="1" applyAlignment="1">
      <alignment horizontal="left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dd/mm/yy;@"/>
      <alignment horizontal="center" vertical="bottom" textRotation="0" wrapText="0" indent="0" justifyLastLine="0" shrinkToFit="0" readingOrder="0"/>
    </dxf>
    <dxf>
      <numFmt numFmtId="165" formatCode="dd/mm/yy;@"/>
      <alignment horizontal="center" vertical="bottom" textRotation="0" wrapText="0" indent="0" justifyLastLine="0" shrinkToFit="0" readingOrder="0"/>
    </dxf>
    <dxf>
      <numFmt numFmtId="165" formatCode="dd/mm/yy;@"/>
      <alignment horizontal="center" vertical="bottom" textRotation="0" wrapText="0" indent="0" justifyLastLine="0" shrinkToFit="0" readingOrder="0"/>
    </dxf>
    <dxf>
      <numFmt numFmtId="172" formatCode="dd/mm/yyyy"/>
      <alignment horizontal="center" vertical="bottom" textRotation="0" wrapText="0" indent="0" justifyLastLine="0" shrinkToFit="0" readingOrder="0"/>
    </dxf>
    <dxf>
      <numFmt numFmtId="172" formatCode="dd/mm/yyyy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0" tint="-0.249977111117893"/>
        </patternFill>
      </fill>
      <alignment horizontal="center" vertical="bottom" textRotation="0" wrapText="1" indent="0" justifyLastLine="0" shrinkToFit="0" readingOrder="0"/>
    </dxf>
    <dxf>
      <numFmt numFmtId="165" formatCode="dd/mm/yy;@"/>
      <alignment horizontal="center" vertical="bottom" textRotation="0" wrapText="0" indent="0" justifyLastLine="0" shrinkToFit="0" readingOrder="0"/>
    </dxf>
    <dxf>
      <numFmt numFmtId="165" formatCode="dd/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0" tint="-0.249977111117893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 Silva Junior Sergio Luis (ext) BRSP" id="{C02B6E80-49F2-4A08-A3FD-7FB891EFF4EC}" userId="S::sergio_luis.da_silva_junior@syngenta.com::b8ae914e-9711-409b-acc3-89606482c32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71668-4B1D-4A41-BF14-2188B5B36601}" name="Tabela22" displayName="Tabela22" ref="A1:C23" totalsRowShown="0" headerRowDxfId="16" dataDxfId="15">
  <autoFilter ref="A1:C23" xr:uid="{08CC3A75-5C81-4C11-89CA-D4D8B4781C1C}"/>
  <tableColumns count="3">
    <tableColumn id="1" xr3:uid="{B980D2FE-1F1C-41F0-9E36-E984EC0D8150}" name="Campanha"/>
    <tableColumn id="5" xr3:uid="{F2EFF81F-8616-413C-879B-BDDE78CBA811}" name="Desembolso" dataDxfId="14"/>
    <tableColumn id="6" xr3:uid="{FBBDAE61-B63A-4540-AD9F-A909C4E9532C}" name="Vencimento/Pagto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CC3A75-5C81-4C11-89CA-D4D8B4781C1C}" name="Tabela2" displayName="Tabela2" ref="A1:N294" totalsRowShown="0" headerRowDxfId="12" dataDxfId="11">
  <autoFilter ref="A1:N294" xr:uid="{08CC3A75-5C81-4C11-89CA-D4D8B4781C1C}"/>
  <sortState xmlns:xlrd2="http://schemas.microsoft.com/office/spreadsheetml/2017/richdata2" ref="A2:M294">
    <sortCondition ref="A1:A294"/>
  </sortState>
  <tableColumns count="14">
    <tableColumn id="1" xr3:uid="{1FE8F15E-F809-4C30-A9EE-406EC0A85EE4}" name="Campanha"/>
    <tableColumn id="2" xr3:uid="{BB1648B8-E88D-4576-9F39-472A0D87A9D3}" name="Produto Financeiro"/>
    <tableColumn id="3" xr3:uid="{D43D06B1-783E-49CE-8E67-8B9DC0EBE63F}" name="Produto Agrícola"/>
    <tableColumn id="4" xr3:uid="{5C422C53-835E-4DDF-8940-D1EC046CBE6A}" name="Moeda"/>
    <tableColumn id="9" xr3:uid="{99064C7B-588D-4334-915F-0E0C5E61FD95}" name="Cálculo Período"/>
    <tableColumn id="10" xr3:uid="{7467A175-7E43-41BF-B7D3-A89710FBEAB5}" name="Tipo Juros" dataDxfId="10"/>
    <tableColumn id="7" xr3:uid="{BF698795-0C14-4941-B2FC-4D416746E6D4}" name="Taxa (a.m.)" dataDxfId="9"/>
    <tableColumn id="12" xr3:uid="{294EA371-6142-4627-91C9-7AED96C6A5F5}" name="Desconto Comercial (VPAN)" dataDxfId="8"/>
    <tableColumn id="8" xr3:uid="{8AD4C04C-5B56-444C-99B9-6215731EB596}" name="Incentivo" dataDxfId="7"/>
    <tableColumn id="13" xr3:uid="{A5E2FF0B-947C-408B-A513-43D6BCCA659D}" name="Início Vigência" dataDxfId="6"/>
    <tableColumn id="11" xr3:uid="{904A6CBF-42F0-4077-82D3-F1036C0E3347}" name="Fim Vigência" dataDxfId="5"/>
    <tableColumn id="6" xr3:uid="{C6ACFA93-7202-4B2E-9289-04951CD464B0}" name="Vencimento/Pagto CAMPANHA" dataDxfId="4">
      <calculatedColumnFormula>IFERROR(VLOOKUP(Tabela2[[#This Row],[Campanha]],Campanhas!A:C,3,FALSE),"")</calculatedColumnFormula>
    </tableColumn>
    <tableColumn id="5" xr3:uid="{ACB82911-AF5E-49B5-986F-8B17EE5DECBD}" name="Desembolso CAMPANHA" dataDxfId="3">
      <calculatedColumnFormula>IFERROR(VLOOKUP(Tabela2[[#This Row],[Campanha]],Campanhas!A:C,2,FALSE),"")</calculatedColumnFormula>
    </tableColumn>
    <tableColumn id="14" xr3:uid="{F77D264A-B199-439F-84F7-72212E9516D8}" name="Desembolso Especifico Tax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3-04T20:38:14.56" personId="{C02B6E80-49F2-4A08-A3FD-7FB891EFF4EC}" id="{04CE6C74-D879-47EB-BE18-C80B090C1ED4}">
    <text>Não precisa ser selecionavel. A campanha já deve trazer essa informação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5D14-7184-4627-9266-85A378C33044}">
  <dimension ref="A1:C23"/>
  <sheetViews>
    <sheetView zoomScale="120" zoomScaleNormal="120" workbookViewId="0">
      <selection activeCell="A13" sqref="A13"/>
    </sheetView>
  </sheetViews>
  <sheetFormatPr defaultColWidth="8.85546875" defaultRowHeight="14.45"/>
  <cols>
    <col min="1" max="1" width="44.28515625" customWidth="1"/>
    <col min="2" max="3" width="25.85546875" style="4" bestFit="1" customWidth="1"/>
  </cols>
  <sheetData>
    <row r="1" spans="1:3" s="1" customFormat="1">
      <c r="A1" s="8" t="s">
        <v>0</v>
      </c>
      <c r="B1" s="9" t="s">
        <v>1</v>
      </c>
      <c r="C1" s="9" t="s">
        <v>2</v>
      </c>
    </row>
    <row r="2" spans="1:3">
      <c r="A2" t="s">
        <v>3</v>
      </c>
      <c r="B2" s="3">
        <v>46357</v>
      </c>
      <c r="C2" s="3">
        <v>46512</v>
      </c>
    </row>
    <row r="3" spans="1:3">
      <c r="A3" t="s">
        <v>4</v>
      </c>
      <c r="B3" s="3">
        <v>46357</v>
      </c>
      <c r="C3" s="3">
        <v>46512</v>
      </c>
    </row>
    <row r="4" spans="1:3">
      <c r="A4" t="s">
        <v>5</v>
      </c>
      <c r="B4" s="3">
        <v>46357</v>
      </c>
      <c r="C4" s="3">
        <v>46512</v>
      </c>
    </row>
    <row r="5" spans="1:3">
      <c r="A5" t="s">
        <v>6</v>
      </c>
      <c r="B5" s="3">
        <v>46357</v>
      </c>
      <c r="C5" s="3">
        <v>46512</v>
      </c>
    </row>
    <row r="6" spans="1:3">
      <c r="A6" t="s">
        <v>7</v>
      </c>
      <c r="B6" s="3">
        <v>46327</v>
      </c>
      <c r="C6" s="3">
        <v>46512</v>
      </c>
    </row>
    <row r="7" spans="1:3">
      <c r="A7" t="s">
        <v>8</v>
      </c>
      <c r="B7" s="3">
        <v>46327</v>
      </c>
      <c r="C7" s="3">
        <v>46512</v>
      </c>
    </row>
    <row r="8" spans="1:3">
      <c r="A8" t="s">
        <v>9</v>
      </c>
      <c r="B8" s="3">
        <v>46327</v>
      </c>
      <c r="C8" s="3">
        <v>46512</v>
      </c>
    </row>
    <row r="9" spans="1:3">
      <c r="A9" t="s">
        <v>10</v>
      </c>
      <c r="B9" s="3">
        <v>46327</v>
      </c>
      <c r="C9" s="3">
        <v>46512</v>
      </c>
    </row>
    <row r="10" spans="1:3">
      <c r="A10" t="s">
        <v>11</v>
      </c>
      <c r="B10" s="3">
        <v>46327</v>
      </c>
      <c r="C10" s="3">
        <v>46543</v>
      </c>
    </row>
    <row r="11" spans="1:3">
      <c r="A11" t="s">
        <v>12</v>
      </c>
      <c r="B11" s="3">
        <v>46327</v>
      </c>
      <c r="C11" s="3">
        <v>46543</v>
      </c>
    </row>
    <row r="12" spans="1:3">
      <c r="A12" t="s">
        <v>13</v>
      </c>
      <c r="B12" s="3">
        <v>46327</v>
      </c>
      <c r="C12" s="3">
        <v>46543</v>
      </c>
    </row>
    <row r="13" spans="1:3">
      <c r="A13" t="s">
        <v>14</v>
      </c>
      <c r="B13" s="3">
        <v>46327</v>
      </c>
      <c r="C13" s="3">
        <v>46543</v>
      </c>
    </row>
    <row r="14" spans="1:3">
      <c r="A14" t="s">
        <v>15</v>
      </c>
      <c r="B14" s="3">
        <v>46357</v>
      </c>
      <c r="C14" s="3">
        <v>46512</v>
      </c>
    </row>
    <row r="15" spans="1:3">
      <c r="A15" t="s">
        <v>16</v>
      </c>
      <c r="B15" s="3">
        <v>46327</v>
      </c>
      <c r="C15" s="3">
        <v>46512</v>
      </c>
    </row>
    <row r="16" spans="1:3">
      <c r="A16" t="s">
        <v>17</v>
      </c>
      <c r="B16" s="3">
        <v>46327</v>
      </c>
      <c r="C16" s="3">
        <v>46543</v>
      </c>
    </row>
    <row r="17" spans="1:3">
      <c r="A17" t="s">
        <v>18</v>
      </c>
      <c r="B17" s="3">
        <v>46300</v>
      </c>
      <c r="C17" s="3">
        <v>46512</v>
      </c>
    </row>
    <row r="18" spans="1:3">
      <c r="A18" t="s">
        <v>19</v>
      </c>
      <c r="B18" s="3">
        <v>46300</v>
      </c>
      <c r="C18" s="3">
        <v>46512</v>
      </c>
    </row>
    <row r="19" spans="1:3">
      <c r="A19" t="s">
        <v>20</v>
      </c>
      <c r="B19" s="3">
        <v>46300</v>
      </c>
      <c r="C19" s="3">
        <v>46512</v>
      </c>
    </row>
    <row r="20" spans="1:3">
      <c r="A20" t="s">
        <v>21</v>
      </c>
      <c r="B20" s="3">
        <v>46371</v>
      </c>
      <c r="C20" s="3">
        <v>46635</v>
      </c>
    </row>
    <row r="21" spans="1:3">
      <c r="A21" t="s">
        <v>22</v>
      </c>
      <c r="B21" s="3">
        <v>46371</v>
      </c>
      <c r="C21" s="3">
        <v>46635</v>
      </c>
    </row>
    <row r="22" spans="1:3">
      <c r="A22" t="s">
        <v>23</v>
      </c>
      <c r="B22" s="3">
        <v>46371</v>
      </c>
      <c r="C22" s="3">
        <v>46635</v>
      </c>
    </row>
    <row r="23" spans="1:3">
      <c r="A23" t="s">
        <v>24</v>
      </c>
      <c r="B23" s="3">
        <v>46296</v>
      </c>
      <c r="C23" s="3">
        <v>46512</v>
      </c>
    </row>
  </sheetData>
  <dataValidations count="1">
    <dataValidation type="custom" allowBlank="1" showInputMessage="1" showErrorMessage="1" errorTitle="Campanha Duplicada" error="Já existe outra campanha com o mesmo nome nesta lista" sqref="A1:A1048576" xr:uid="{F2268E33-9B7D-9E4E-975F-CD4960F31FE2}">
      <formula1>COUNTIF($A:$A, A1)=1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4"/>
  <sheetViews>
    <sheetView zoomScale="80" zoomScaleNormal="80" workbookViewId="0">
      <pane ySplit="1" topLeftCell="A36" activePane="bottomLeft" state="frozen"/>
      <selection pane="bottomLeft" activeCell="E44" sqref="E44"/>
    </sheetView>
  </sheetViews>
  <sheetFormatPr defaultColWidth="8.85546875" defaultRowHeight="14.45"/>
  <cols>
    <col min="1" max="1" width="38.5703125" customWidth="1"/>
    <col min="2" max="2" width="20.42578125" customWidth="1"/>
    <col min="3" max="3" width="17" customWidth="1"/>
    <col min="4" max="4" width="9.28515625" bestFit="1" customWidth="1"/>
    <col min="5" max="5" width="9.28515625" customWidth="1"/>
    <col min="6" max="6" width="13.85546875" style="6" customWidth="1"/>
    <col min="7" max="7" width="16.85546875" style="2" customWidth="1"/>
    <col min="8" max="8" width="18.7109375" style="2" customWidth="1"/>
    <col min="9" max="9" width="13.42578125" style="2" customWidth="1"/>
    <col min="10" max="11" width="13.42578125" style="46" customWidth="1"/>
    <col min="12" max="12" width="25.85546875" style="4" bestFit="1" customWidth="1"/>
    <col min="13" max="13" width="17" style="4" customWidth="1"/>
    <col min="14" max="14" width="18.7109375" customWidth="1"/>
  </cols>
  <sheetData>
    <row r="1" spans="1:14" s="1" customFormat="1" ht="29.1">
      <c r="A1" s="8" t="s">
        <v>0</v>
      </c>
      <c r="B1" s="8" t="s">
        <v>25</v>
      </c>
      <c r="C1" s="8" t="s">
        <v>26</v>
      </c>
      <c r="D1" s="8" t="s">
        <v>27</v>
      </c>
      <c r="E1" s="8" t="s">
        <v>28</v>
      </c>
      <c r="F1" s="11" t="s">
        <v>29</v>
      </c>
      <c r="G1" s="10" t="s">
        <v>30</v>
      </c>
      <c r="H1" s="10" t="s">
        <v>31</v>
      </c>
      <c r="I1" s="10" t="s">
        <v>32</v>
      </c>
      <c r="J1" s="34" t="s">
        <v>33</v>
      </c>
      <c r="K1" s="49" t="s">
        <v>34</v>
      </c>
      <c r="L1" s="57" t="s">
        <v>35</v>
      </c>
      <c r="M1" s="57" t="s">
        <v>36</v>
      </c>
      <c r="N1" s="49" t="s">
        <v>37</v>
      </c>
    </row>
    <row r="2" spans="1:14">
      <c r="A2" t="s">
        <v>4</v>
      </c>
      <c r="B2" t="s">
        <v>38</v>
      </c>
      <c r="C2" t="s">
        <v>39</v>
      </c>
      <c r="D2" t="s">
        <v>40</v>
      </c>
      <c r="E2" t="s">
        <v>41</v>
      </c>
      <c r="F2" s="5" t="s">
        <v>42</v>
      </c>
      <c r="G2" s="2">
        <v>1.7500000000000002E-2</v>
      </c>
      <c r="H2" s="2">
        <v>0.04</v>
      </c>
      <c r="J2" s="7">
        <v>46113</v>
      </c>
      <c r="K2" s="46">
        <v>46127</v>
      </c>
      <c r="L2" s="3">
        <f>IFERROR(VLOOKUP(Tabela2[[#This Row],[Campanha]],Campanhas!A:C,3,FALSE),"")</f>
        <v>46512</v>
      </c>
      <c r="M2" s="3">
        <f>IFERROR(VLOOKUP(Tabela2[[#This Row],[Campanha]],Campanhas!A:C,2,FALSE),"")</f>
        <v>46357</v>
      </c>
      <c r="N2" s="3"/>
    </row>
    <row r="3" spans="1:14">
      <c r="A3" t="s">
        <v>4</v>
      </c>
      <c r="B3" t="s">
        <v>43</v>
      </c>
      <c r="C3" t="s">
        <v>39</v>
      </c>
      <c r="D3" t="s">
        <v>40</v>
      </c>
      <c r="E3" t="s">
        <v>44</v>
      </c>
      <c r="F3" s="5" t="s">
        <v>45</v>
      </c>
      <c r="G3" s="2">
        <v>1.8499999999999999E-2</v>
      </c>
      <c r="I3" s="2">
        <v>0.04</v>
      </c>
      <c r="J3" s="7">
        <v>46113</v>
      </c>
      <c r="K3" s="46">
        <v>46127</v>
      </c>
      <c r="L3" s="3">
        <f>IFERROR(VLOOKUP(Tabela2[[#This Row],[Campanha]],Campanhas!A:C,3,FALSE),"")</f>
        <v>46512</v>
      </c>
      <c r="M3" s="3">
        <f>IFERROR(VLOOKUP(Tabela2[[#This Row],[Campanha]],Campanhas!A:C,2,FALSE),"")</f>
        <v>46357</v>
      </c>
      <c r="N3" s="3"/>
    </row>
    <row r="4" spans="1:14">
      <c r="A4" t="s">
        <v>4</v>
      </c>
      <c r="B4" t="s">
        <v>46</v>
      </c>
      <c r="C4" t="s">
        <v>39</v>
      </c>
      <c r="D4" t="s">
        <v>40</v>
      </c>
      <c r="E4" t="s">
        <v>44</v>
      </c>
      <c r="F4" s="5" t="s">
        <v>45</v>
      </c>
      <c r="G4" s="2">
        <v>1.8499999999999999E-2</v>
      </c>
      <c r="H4" s="47"/>
      <c r="J4" s="7">
        <v>46113</v>
      </c>
      <c r="K4" s="46">
        <v>46127</v>
      </c>
      <c r="L4" s="3">
        <f>IFERROR(VLOOKUP(Tabela2[[#This Row],[Campanha]],Campanhas!A:C,3,FALSE),"")</f>
        <v>46512</v>
      </c>
      <c r="M4" s="3">
        <f>IFERROR(VLOOKUP(Tabela2[[#This Row],[Campanha]],Campanhas!A:C,2,FALSE),"")</f>
        <v>46357</v>
      </c>
      <c r="N4" s="3"/>
    </row>
    <row r="5" spans="1:14">
      <c r="A5" t="s">
        <v>3</v>
      </c>
      <c r="B5" t="s">
        <v>38</v>
      </c>
      <c r="C5" t="s">
        <v>39</v>
      </c>
      <c r="D5" t="s">
        <v>40</v>
      </c>
      <c r="E5" t="s">
        <v>41</v>
      </c>
      <c r="F5" s="6" t="s">
        <v>42</v>
      </c>
      <c r="G5" s="2">
        <v>1.8499999999999999E-2</v>
      </c>
      <c r="H5" s="2">
        <v>0.04</v>
      </c>
      <c r="J5" s="7">
        <v>46113</v>
      </c>
      <c r="K5" s="46">
        <v>46127</v>
      </c>
      <c r="L5" s="3">
        <f>IFERROR(VLOOKUP(Tabela2[[#This Row],[Campanha]],Campanhas!A:C,3,FALSE),"")</f>
        <v>46512</v>
      </c>
      <c r="M5" s="3">
        <f>IFERROR(VLOOKUP(Tabela2[[#This Row],[Campanha]],Campanhas!A:C,2,FALSE),"")</f>
        <v>46357</v>
      </c>
      <c r="N5" s="3"/>
    </row>
    <row r="6" spans="1:14">
      <c r="A6" t="s">
        <v>3</v>
      </c>
      <c r="B6" t="s">
        <v>43</v>
      </c>
      <c r="C6" t="s">
        <v>39</v>
      </c>
      <c r="D6" t="s">
        <v>40</v>
      </c>
      <c r="E6" t="s">
        <v>44</v>
      </c>
      <c r="F6" s="6" t="s">
        <v>45</v>
      </c>
      <c r="G6" s="2">
        <v>1.8499999999999999E-2</v>
      </c>
      <c r="I6" s="2">
        <v>0.03</v>
      </c>
      <c r="J6" s="7">
        <v>46113</v>
      </c>
      <c r="K6" s="46">
        <v>46127</v>
      </c>
      <c r="L6" s="3">
        <f>IFERROR(VLOOKUP(Tabela2[[#This Row],[Campanha]],Campanhas!A:C,3,FALSE),"")</f>
        <v>46512</v>
      </c>
      <c r="M6" s="3">
        <f>IFERROR(VLOOKUP(Tabela2[[#This Row],[Campanha]],Campanhas!A:C,2,FALSE),"")</f>
        <v>46357</v>
      </c>
      <c r="N6" s="3"/>
    </row>
    <row r="7" spans="1:14">
      <c r="A7" t="s">
        <v>3</v>
      </c>
      <c r="B7" t="s">
        <v>46</v>
      </c>
      <c r="C7" t="s">
        <v>39</v>
      </c>
      <c r="D7" t="s">
        <v>40</v>
      </c>
      <c r="E7" t="s">
        <v>44</v>
      </c>
      <c r="F7" s="6" t="s">
        <v>45</v>
      </c>
      <c r="G7" s="2">
        <v>1.8499999999999999E-2</v>
      </c>
      <c r="H7" s="47"/>
      <c r="J7" s="7">
        <v>46113</v>
      </c>
      <c r="K7" s="46">
        <v>46127</v>
      </c>
      <c r="L7" s="3">
        <f>IFERROR(VLOOKUP(Tabela2[[#This Row],[Campanha]],Campanhas!A:C,3,FALSE),"")</f>
        <v>46512</v>
      </c>
      <c r="M7" s="3">
        <f>IFERROR(VLOOKUP(Tabela2[[#This Row],[Campanha]],Campanhas!A:C,2,FALSE),"")</f>
        <v>46357</v>
      </c>
      <c r="N7" s="3"/>
    </row>
    <row r="8" spans="1:14">
      <c r="A8" t="s">
        <v>5</v>
      </c>
      <c r="B8" t="s">
        <v>43</v>
      </c>
      <c r="C8" t="s">
        <v>39</v>
      </c>
      <c r="D8" t="s">
        <v>40</v>
      </c>
      <c r="E8" t="s">
        <v>44</v>
      </c>
      <c r="F8" s="6" t="s">
        <v>45</v>
      </c>
      <c r="G8" s="2">
        <v>1.8499999999999999E-2</v>
      </c>
      <c r="H8" s="47"/>
      <c r="I8" s="2">
        <v>0.01</v>
      </c>
      <c r="J8" s="7">
        <v>46113</v>
      </c>
      <c r="K8" s="46">
        <v>46127</v>
      </c>
      <c r="L8" s="3">
        <f>IFERROR(VLOOKUP(Tabela2[[#This Row],[Campanha]],Campanhas!A:C,3,FALSE),"")</f>
        <v>46512</v>
      </c>
      <c r="M8" s="3">
        <f>IFERROR(VLOOKUP(Tabela2[[#This Row],[Campanha]],Campanhas!A:C,2,FALSE),"")</f>
        <v>46357</v>
      </c>
      <c r="N8" s="3"/>
    </row>
    <row r="9" spans="1:14">
      <c r="A9" t="s">
        <v>5</v>
      </c>
      <c r="B9" t="s">
        <v>46</v>
      </c>
      <c r="C9" t="s">
        <v>39</v>
      </c>
      <c r="D9" t="s">
        <v>40</v>
      </c>
      <c r="E9" t="s">
        <v>44</v>
      </c>
      <c r="F9" s="6" t="s">
        <v>45</v>
      </c>
      <c r="G9" s="2">
        <v>1.8499999999999999E-2</v>
      </c>
      <c r="J9" s="7">
        <v>46113</v>
      </c>
      <c r="K9" s="46">
        <v>46127</v>
      </c>
      <c r="L9" s="3">
        <f>IFERROR(VLOOKUP(Tabela2[[#This Row],[Campanha]],Campanhas!A:C,3,FALSE),"")</f>
        <v>46512</v>
      </c>
      <c r="M9" s="3">
        <f>IFERROR(VLOOKUP(Tabela2[[#This Row],[Campanha]],Campanhas!A:C,2,FALSE),"")</f>
        <v>46357</v>
      </c>
      <c r="N9" s="3"/>
    </row>
    <row r="10" spans="1:14">
      <c r="A10" t="s">
        <v>6</v>
      </c>
      <c r="B10" t="s">
        <v>43</v>
      </c>
      <c r="C10" t="s">
        <v>39</v>
      </c>
      <c r="D10" t="s">
        <v>40</v>
      </c>
      <c r="E10" t="s">
        <v>44</v>
      </c>
      <c r="F10" s="6" t="s">
        <v>45</v>
      </c>
      <c r="G10" s="2">
        <v>1.8499999999999999E-2</v>
      </c>
      <c r="I10" s="2">
        <v>0.01</v>
      </c>
      <c r="J10" s="7">
        <v>46113</v>
      </c>
      <c r="K10" s="46">
        <v>46127</v>
      </c>
      <c r="L10" s="3">
        <f>IFERROR(VLOOKUP(Tabela2[[#This Row],[Campanha]],Campanhas!A:C,3,FALSE),"")</f>
        <v>46512</v>
      </c>
      <c r="M10" s="3">
        <f>IFERROR(VLOOKUP(Tabela2[[#This Row],[Campanha]],Campanhas!A:C,2,FALSE),"")</f>
        <v>46357</v>
      </c>
      <c r="N10" s="3"/>
    </row>
    <row r="11" spans="1:14">
      <c r="A11" t="s">
        <v>6</v>
      </c>
      <c r="B11" t="s">
        <v>46</v>
      </c>
      <c r="C11" t="s">
        <v>39</v>
      </c>
      <c r="D11" t="s">
        <v>40</v>
      </c>
      <c r="E11" t="s">
        <v>44</v>
      </c>
      <c r="F11" s="6" t="s">
        <v>45</v>
      </c>
      <c r="G11" s="2">
        <v>1.8499999999999999E-2</v>
      </c>
      <c r="J11" s="7">
        <v>46113</v>
      </c>
      <c r="K11" s="46">
        <v>46127</v>
      </c>
      <c r="L11" s="3">
        <f>IFERROR(VLOOKUP(Tabela2[[#This Row],[Campanha]],Campanhas!A:C,3,FALSE),"")</f>
        <v>46512</v>
      </c>
      <c r="M11" s="3">
        <f>IFERROR(VLOOKUP(Tabela2[[#This Row],[Campanha]],Campanhas!A:C,2,FALSE),"")</f>
        <v>46357</v>
      </c>
      <c r="N11" s="3"/>
    </row>
    <row r="12" spans="1:14">
      <c r="A12" t="s">
        <v>15</v>
      </c>
      <c r="B12" t="s">
        <v>46</v>
      </c>
      <c r="C12" t="s">
        <v>47</v>
      </c>
      <c r="D12" t="s">
        <v>40</v>
      </c>
      <c r="E12" t="s">
        <v>44</v>
      </c>
      <c r="F12" s="6" t="s">
        <v>45</v>
      </c>
      <c r="G12" s="2">
        <v>1.8499999999999999E-2</v>
      </c>
      <c r="J12" s="7">
        <v>46113</v>
      </c>
      <c r="K12" s="46">
        <v>46127</v>
      </c>
      <c r="L12" s="3">
        <f>IFERROR(VLOOKUP(Tabela2[[#This Row],[Campanha]],Campanhas!A:C,3,FALSE),"")</f>
        <v>46512</v>
      </c>
      <c r="M12" s="3">
        <f>IFERROR(VLOOKUP(Tabela2[[#This Row],[Campanha]],Campanhas!A:C,2,FALSE),"")</f>
        <v>46357</v>
      </c>
      <c r="N12" s="3"/>
    </row>
    <row r="13" spans="1:14">
      <c r="A13" t="s">
        <v>15</v>
      </c>
      <c r="B13" t="s">
        <v>38</v>
      </c>
      <c r="C13" t="s">
        <v>47</v>
      </c>
      <c r="D13" t="s">
        <v>40</v>
      </c>
      <c r="E13" t="s">
        <v>41</v>
      </c>
      <c r="F13" s="6" t="s">
        <v>42</v>
      </c>
      <c r="G13" s="2">
        <v>1.7000000000000001E-2</v>
      </c>
      <c r="H13" s="2">
        <v>0.04</v>
      </c>
      <c r="J13" s="7">
        <v>46113</v>
      </c>
      <c r="K13" s="46">
        <v>46127</v>
      </c>
      <c r="L13" s="3">
        <f>IFERROR(VLOOKUP(Tabela2[[#This Row],[Campanha]],Campanhas!A:C,3,FALSE),"")</f>
        <v>46512</v>
      </c>
      <c r="M13" s="3">
        <f>IFERROR(VLOOKUP(Tabela2[[#This Row],[Campanha]],Campanhas!A:C,2,FALSE),"")</f>
        <v>46357</v>
      </c>
      <c r="N13" s="3"/>
    </row>
    <row r="14" spans="1:14">
      <c r="A14" t="s">
        <v>16</v>
      </c>
      <c r="B14" t="s">
        <v>38</v>
      </c>
      <c r="C14" t="s">
        <v>47</v>
      </c>
      <c r="D14" t="s">
        <v>40</v>
      </c>
      <c r="E14" t="s">
        <v>41</v>
      </c>
      <c r="F14" s="6" t="s">
        <v>42</v>
      </c>
      <c r="G14" s="2">
        <v>1.66E-2</v>
      </c>
      <c r="H14" s="2">
        <v>0.04</v>
      </c>
      <c r="J14" s="7">
        <v>46113</v>
      </c>
      <c r="K14" s="46">
        <v>46127</v>
      </c>
      <c r="L14" s="3">
        <f>IFERROR(VLOOKUP(Tabela2[[#This Row],[Campanha]],Campanhas!A:C,3,FALSE),"")</f>
        <v>46512</v>
      </c>
      <c r="M14" s="3">
        <f>IFERROR(VLOOKUP(Tabela2[[#This Row],[Campanha]],Campanhas!A:C,2,FALSE),"")</f>
        <v>46327</v>
      </c>
      <c r="N14" s="3"/>
    </row>
    <row r="15" spans="1:14">
      <c r="A15" t="s">
        <v>16</v>
      </c>
      <c r="B15" t="s">
        <v>46</v>
      </c>
      <c r="C15" t="s">
        <v>47</v>
      </c>
      <c r="D15" t="s">
        <v>40</v>
      </c>
      <c r="E15" t="s">
        <v>44</v>
      </c>
      <c r="F15" s="6" t="s">
        <v>45</v>
      </c>
      <c r="G15" s="2">
        <v>1.8499999999999999E-2</v>
      </c>
      <c r="J15" s="7">
        <v>46113</v>
      </c>
      <c r="K15" s="46">
        <v>46127</v>
      </c>
      <c r="L15" s="3">
        <f>IFERROR(VLOOKUP(Tabela2[[#This Row],[Campanha]],Campanhas!A:C,3,FALSE),"")</f>
        <v>46512</v>
      </c>
      <c r="M15" s="3">
        <f>IFERROR(VLOOKUP(Tabela2[[#This Row],[Campanha]],Campanhas!A:C,2,FALSE),"")</f>
        <v>46327</v>
      </c>
      <c r="N15" s="3"/>
    </row>
    <row r="16" spans="1:14">
      <c r="A16" t="s">
        <v>17</v>
      </c>
      <c r="B16" t="s">
        <v>38</v>
      </c>
      <c r="C16" t="s">
        <v>47</v>
      </c>
      <c r="D16" t="s">
        <v>40</v>
      </c>
      <c r="E16" t="s">
        <v>41</v>
      </c>
      <c r="F16" s="6" t="s">
        <v>42</v>
      </c>
      <c r="G16" s="2">
        <v>1.6500000000000001E-2</v>
      </c>
      <c r="H16" s="2">
        <v>0.04</v>
      </c>
      <c r="J16" s="7">
        <v>46113</v>
      </c>
      <c r="K16" s="46">
        <v>46127</v>
      </c>
      <c r="L16" s="3">
        <f>IFERROR(VLOOKUP(Tabela2[[#This Row],[Campanha]],Campanhas!A:C,3,FALSE),"")</f>
        <v>46543</v>
      </c>
      <c r="M16" s="3">
        <f>IFERROR(VLOOKUP(Tabela2[[#This Row],[Campanha]],Campanhas!A:C,2,FALSE),"")</f>
        <v>46327</v>
      </c>
      <c r="N16" s="3"/>
    </row>
    <row r="17" spans="1:14">
      <c r="A17" t="s">
        <v>17</v>
      </c>
      <c r="B17" t="s">
        <v>46</v>
      </c>
      <c r="C17" t="s">
        <v>47</v>
      </c>
      <c r="D17" t="s">
        <v>40</v>
      </c>
      <c r="E17" t="s">
        <v>44</v>
      </c>
      <c r="F17" s="6" t="s">
        <v>45</v>
      </c>
      <c r="G17" s="2">
        <v>1.8499999999999999E-2</v>
      </c>
      <c r="J17" s="7">
        <v>46113</v>
      </c>
      <c r="K17" s="46">
        <v>46127</v>
      </c>
      <c r="L17" s="3">
        <f>IFERROR(VLOOKUP(Tabela2[[#This Row],[Campanha]],Campanhas!A:C,3,FALSE),"")</f>
        <v>46543</v>
      </c>
      <c r="M17" s="3">
        <f>IFERROR(VLOOKUP(Tabela2[[#This Row],[Campanha]],Campanhas!A:C,2,FALSE),"")</f>
        <v>46327</v>
      </c>
      <c r="N17" s="3"/>
    </row>
    <row r="18" spans="1:14">
      <c r="A18" t="s">
        <v>18</v>
      </c>
      <c r="B18" t="s">
        <v>38</v>
      </c>
      <c r="C18" t="s">
        <v>39</v>
      </c>
      <c r="D18" t="s">
        <v>48</v>
      </c>
      <c r="E18" t="s">
        <v>44</v>
      </c>
      <c r="F18" s="6" t="s">
        <v>45</v>
      </c>
      <c r="G18" s="2">
        <v>0.01</v>
      </c>
      <c r="H18" s="2">
        <v>0.04</v>
      </c>
      <c r="J18" s="7">
        <v>46113</v>
      </c>
      <c r="K18" s="46">
        <v>46127</v>
      </c>
      <c r="L18" s="3">
        <f>IFERROR(VLOOKUP(Tabela2[[#This Row],[Campanha]],Campanhas!A:C,3,FALSE),"")</f>
        <v>46512</v>
      </c>
      <c r="M18" s="3">
        <f>IFERROR(VLOOKUP(Tabela2[[#This Row],[Campanha]],Campanhas!A:C,2,FALSE),"")</f>
        <v>46300</v>
      </c>
      <c r="N18" s="3"/>
    </row>
    <row r="19" spans="1:14">
      <c r="A19" t="s">
        <v>18</v>
      </c>
      <c r="B19" t="s">
        <v>43</v>
      </c>
      <c r="C19" t="s">
        <v>39</v>
      </c>
      <c r="D19" t="s">
        <v>48</v>
      </c>
      <c r="E19" t="s">
        <v>44</v>
      </c>
      <c r="F19" s="6" t="s">
        <v>45</v>
      </c>
      <c r="G19" s="2">
        <v>1.2E-2</v>
      </c>
      <c r="I19" s="2">
        <v>0.04</v>
      </c>
      <c r="J19" s="7">
        <v>46113</v>
      </c>
      <c r="K19" s="46">
        <v>46127</v>
      </c>
      <c r="L19" s="3">
        <f>IFERROR(VLOOKUP(Tabela2[[#This Row],[Campanha]],Campanhas!A:C,3,FALSE),"")</f>
        <v>46512</v>
      </c>
      <c r="M19" s="3">
        <f>IFERROR(VLOOKUP(Tabela2[[#This Row],[Campanha]],Campanhas!A:C,2,FALSE),"")</f>
        <v>46300</v>
      </c>
      <c r="N19" s="3"/>
    </row>
    <row r="20" spans="1:14">
      <c r="A20" t="s">
        <v>18</v>
      </c>
      <c r="B20" t="s">
        <v>46</v>
      </c>
      <c r="C20" t="s">
        <v>39</v>
      </c>
      <c r="D20" t="s">
        <v>48</v>
      </c>
      <c r="E20" t="s">
        <v>44</v>
      </c>
      <c r="F20" s="6" t="s">
        <v>45</v>
      </c>
      <c r="G20" s="2">
        <v>1.2E-2</v>
      </c>
      <c r="J20" s="7">
        <v>46113</v>
      </c>
      <c r="K20" s="46">
        <v>46127</v>
      </c>
      <c r="L20" s="3">
        <f>IFERROR(VLOOKUP(Tabela2[[#This Row],[Campanha]],Campanhas!A:C,3,FALSE),"")</f>
        <v>46512</v>
      </c>
      <c r="M20" s="3">
        <f>IFERROR(VLOOKUP(Tabela2[[#This Row],[Campanha]],Campanhas!A:C,2,FALSE),"")</f>
        <v>46300</v>
      </c>
      <c r="N20" s="3"/>
    </row>
    <row r="21" spans="1:14">
      <c r="A21" t="s">
        <v>19</v>
      </c>
      <c r="B21" t="s">
        <v>38</v>
      </c>
      <c r="C21" t="s">
        <v>39</v>
      </c>
      <c r="D21" t="s">
        <v>48</v>
      </c>
      <c r="E21" t="s">
        <v>44</v>
      </c>
      <c r="F21" s="6" t="s">
        <v>45</v>
      </c>
      <c r="G21" s="2">
        <v>1.0999999999999999E-2</v>
      </c>
      <c r="H21" s="2">
        <v>0.04</v>
      </c>
      <c r="J21" s="7">
        <v>46113</v>
      </c>
      <c r="K21" s="46">
        <v>46127</v>
      </c>
      <c r="L21" s="3">
        <f>IFERROR(VLOOKUP(Tabela2[[#This Row],[Campanha]],Campanhas!A:C,3,FALSE),"")</f>
        <v>46512</v>
      </c>
      <c r="M21" s="3">
        <f>IFERROR(VLOOKUP(Tabela2[[#This Row],[Campanha]],Campanhas!A:C,2,FALSE),"")</f>
        <v>46300</v>
      </c>
      <c r="N21" s="3"/>
    </row>
    <row r="22" spans="1:14">
      <c r="A22" t="s">
        <v>19</v>
      </c>
      <c r="B22" t="s">
        <v>43</v>
      </c>
      <c r="C22" t="s">
        <v>39</v>
      </c>
      <c r="D22" t="s">
        <v>48</v>
      </c>
      <c r="E22" t="s">
        <v>44</v>
      </c>
      <c r="F22" s="6" t="s">
        <v>45</v>
      </c>
      <c r="G22" s="2">
        <v>1.2E-2</v>
      </c>
      <c r="I22" s="2">
        <v>0.02</v>
      </c>
      <c r="J22" s="7">
        <v>46113</v>
      </c>
      <c r="K22" s="46">
        <v>46127</v>
      </c>
      <c r="L22" s="3">
        <f>IFERROR(VLOOKUP(Tabela2[[#This Row],[Campanha]],Campanhas!A:C,3,FALSE),"")</f>
        <v>46512</v>
      </c>
      <c r="M22" s="3">
        <f>IFERROR(VLOOKUP(Tabela2[[#This Row],[Campanha]],Campanhas!A:C,2,FALSE),"")</f>
        <v>46300</v>
      </c>
      <c r="N22" s="3"/>
    </row>
    <row r="23" spans="1:14">
      <c r="A23" t="s">
        <v>19</v>
      </c>
      <c r="B23" t="s">
        <v>46</v>
      </c>
      <c r="C23" t="s">
        <v>39</v>
      </c>
      <c r="D23" t="s">
        <v>48</v>
      </c>
      <c r="E23" t="s">
        <v>44</v>
      </c>
      <c r="F23" s="6" t="s">
        <v>45</v>
      </c>
      <c r="G23" s="2">
        <v>1.2E-2</v>
      </c>
      <c r="J23" s="7">
        <v>46113</v>
      </c>
      <c r="K23" s="46">
        <v>46127</v>
      </c>
      <c r="L23" s="3">
        <f>IFERROR(VLOOKUP(Tabela2[[#This Row],[Campanha]],Campanhas!A:C,3,FALSE),"")</f>
        <v>46512</v>
      </c>
      <c r="M23" s="3">
        <f>IFERROR(VLOOKUP(Tabela2[[#This Row],[Campanha]],Campanhas!A:C,2,FALSE),"")</f>
        <v>46300</v>
      </c>
      <c r="N23" s="3"/>
    </row>
    <row r="24" spans="1:14">
      <c r="A24" t="s">
        <v>20</v>
      </c>
      <c r="B24" t="s">
        <v>43</v>
      </c>
      <c r="C24" t="s">
        <v>39</v>
      </c>
      <c r="D24" t="s">
        <v>48</v>
      </c>
      <c r="E24" t="s">
        <v>44</v>
      </c>
      <c r="F24" s="6" t="s">
        <v>45</v>
      </c>
      <c r="G24" s="2">
        <v>1.2E-2</v>
      </c>
      <c r="I24" s="2">
        <v>0.01</v>
      </c>
      <c r="J24" s="7">
        <v>46113</v>
      </c>
      <c r="K24" s="46">
        <v>46127</v>
      </c>
      <c r="L24" s="3">
        <f>IFERROR(VLOOKUP(Tabela2[[#This Row],[Campanha]],Campanhas!A:C,3,FALSE),"")</f>
        <v>46512</v>
      </c>
      <c r="M24" s="3">
        <f>IFERROR(VLOOKUP(Tabela2[[#This Row],[Campanha]],Campanhas!A:C,2,FALSE),"")</f>
        <v>46300</v>
      </c>
      <c r="N24" s="3"/>
    </row>
    <row r="25" spans="1:14">
      <c r="A25" t="s">
        <v>20</v>
      </c>
      <c r="B25" t="s">
        <v>46</v>
      </c>
      <c r="C25" t="s">
        <v>39</v>
      </c>
      <c r="D25" t="s">
        <v>48</v>
      </c>
      <c r="E25" t="s">
        <v>44</v>
      </c>
      <c r="F25" s="6" t="s">
        <v>45</v>
      </c>
      <c r="G25" s="2">
        <v>1.2E-2</v>
      </c>
      <c r="J25" s="7">
        <v>46113</v>
      </c>
      <c r="K25" s="46">
        <v>46127</v>
      </c>
      <c r="L25" s="3">
        <f>IFERROR(VLOOKUP(Tabela2[[#This Row],[Campanha]],Campanhas!A:C,3,FALSE),"")</f>
        <v>46512</v>
      </c>
      <c r="M25" s="3">
        <f>IFERROR(VLOOKUP(Tabela2[[#This Row],[Campanha]],Campanhas!A:C,2,FALSE),"")</f>
        <v>46300</v>
      </c>
      <c r="N25" s="3"/>
    </row>
    <row r="26" spans="1:14">
      <c r="A26" t="s">
        <v>21</v>
      </c>
      <c r="B26" t="s">
        <v>38</v>
      </c>
      <c r="C26" t="s">
        <v>39</v>
      </c>
      <c r="D26" t="s">
        <v>48</v>
      </c>
      <c r="E26" t="s">
        <v>44</v>
      </c>
      <c r="F26" s="6" t="s">
        <v>45</v>
      </c>
      <c r="G26" s="2">
        <v>9.5999999999999992E-3</v>
      </c>
      <c r="H26" s="2">
        <v>0.04</v>
      </c>
      <c r="J26" s="7">
        <v>46113</v>
      </c>
      <c r="K26" s="46">
        <v>46127</v>
      </c>
      <c r="L26" s="3">
        <f>IFERROR(VLOOKUP(Tabela2[[#This Row],[Campanha]],Campanhas!A:C,3,FALSE),"")</f>
        <v>46635</v>
      </c>
      <c r="M26" s="3">
        <f>IFERROR(VLOOKUP(Tabela2[[#This Row],[Campanha]],Campanhas!A:C,2,FALSE),"")</f>
        <v>46371</v>
      </c>
      <c r="N26" s="3"/>
    </row>
    <row r="27" spans="1:14">
      <c r="A27" t="s">
        <v>21</v>
      </c>
      <c r="B27" t="s">
        <v>46</v>
      </c>
      <c r="C27" t="s">
        <v>39</v>
      </c>
      <c r="D27" t="s">
        <v>48</v>
      </c>
      <c r="E27" t="s">
        <v>44</v>
      </c>
      <c r="F27" s="6" t="s">
        <v>45</v>
      </c>
      <c r="G27" s="2">
        <v>1.2E-2</v>
      </c>
      <c r="L27" s="3">
        <f>IFERROR(VLOOKUP(Tabela2[[#This Row],[Campanha]],Campanhas!A:C,3,FALSE),"")</f>
        <v>46635</v>
      </c>
      <c r="M27" s="3">
        <v>46451</v>
      </c>
      <c r="N27" s="3"/>
    </row>
    <row r="28" spans="1:14">
      <c r="A28" t="s">
        <v>22</v>
      </c>
      <c r="B28" t="s">
        <v>38</v>
      </c>
      <c r="C28" t="s">
        <v>39</v>
      </c>
      <c r="D28" t="s">
        <v>48</v>
      </c>
      <c r="E28" t="s">
        <v>44</v>
      </c>
      <c r="F28" s="6" t="s">
        <v>45</v>
      </c>
      <c r="G28" s="2">
        <v>1.06E-2</v>
      </c>
      <c r="H28" s="2">
        <v>0.04</v>
      </c>
      <c r="J28" s="7">
        <v>46113</v>
      </c>
      <c r="K28" s="46">
        <v>46127</v>
      </c>
      <c r="L28" s="3">
        <f>IFERROR(VLOOKUP(Tabela2[[#This Row],[Campanha]],Campanhas!A:C,3,FALSE),"")</f>
        <v>46635</v>
      </c>
      <c r="M28" s="3">
        <f>IFERROR(VLOOKUP(Tabela2[[#This Row],[Campanha]],Campanhas!A:C,2,FALSE),"")</f>
        <v>46371</v>
      </c>
      <c r="N28" s="3"/>
    </row>
    <row r="29" spans="1:14">
      <c r="A29" t="s">
        <v>22</v>
      </c>
      <c r="B29" t="s">
        <v>46</v>
      </c>
      <c r="C29" t="s">
        <v>39</v>
      </c>
      <c r="D29" t="s">
        <v>48</v>
      </c>
      <c r="E29" t="s">
        <v>44</v>
      </c>
      <c r="F29" s="6" t="s">
        <v>45</v>
      </c>
      <c r="G29" s="2">
        <v>1.2E-2</v>
      </c>
      <c r="J29" s="7">
        <v>46113</v>
      </c>
      <c r="K29" s="46">
        <v>46127</v>
      </c>
      <c r="L29" s="3">
        <f>IFERROR(VLOOKUP(Tabela2[[#This Row],[Campanha]],Campanhas!A:C,3,FALSE),"")</f>
        <v>46635</v>
      </c>
      <c r="M29" s="3">
        <v>46451</v>
      </c>
      <c r="N29" s="3"/>
    </row>
    <row r="30" spans="1:14">
      <c r="A30" t="s">
        <v>24</v>
      </c>
      <c r="B30" t="s">
        <v>38</v>
      </c>
      <c r="C30" t="s">
        <v>49</v>
      </c>
      <c r="D30" t="s">
        <v>40</v>
      </c>
      <c r="E30" t="s">
        <v>41</v>
      </c>
      <c r="F30" s="6" t="s">
        <v>42</v>
      </c>
      <c r="G30" s="2">
        <v>1.7600000000000001E-2</v>
      </c>
      <c r="H30" s="2">
        <v>0.04</v>
      </c>
      <c r="J30" s="7">
        <v>46113</v>
      </c>
      <c r="K30" s="46">
        <v>46127</v>
      </c>
      <c r="L30" s="3">
        <f>IFERROR(VLOOKUP(Tabela2[[#This Row],[Campanha]],Campanhas!A:C,3,FALSE),"")</f>
        <v>46512</v>
      </c>
      <c r="M30" s="3">
        <f>IFERROR(VLOOKUP(Tabela2[[#This Row],[Campanha]],Campanhas!A:C,2,FALSE),"")</f>
        <v>46296</v>
      </c>
      <c r="N30" s="3"/>
    </row>
    <row r="31" spans="1:14">
      <c r="A31" t="s">
        <v>24</v>
      </c>
      <c r="B31" t="s">
        <v>43</v>
      </c>
      <c r="C31" t="s">
        <v>49</v>
      </c>
      <c r="D31" t="s">
        <v>40</v>
      </c>
      <c r="E31" t="s">
        <v>44</v>
      </c>
      <c r="F31" s="6" t="s">
        <v>45</v>
      </c>
      <c r="G31" s="2">
        <v>1.8499999999999999E-2</v>
      </c>
      <c r="I31" s="2">
        <v>0.01</v>
      </c>
      <c r="J31" s="7">
        <v>46113</v>
      </c>
      <c r="K31" s="46">
        <v>46127</v>
      </c>
      <c r="L31" s="3">
        <f>IFERROR(VLOOKUP(Tabela2[[#This Row],[Campanha]],Campanhas!A:C,3,FALSE),"")</f>
        <v>46512</v>
      </c>
      <c r="M31" s="3">
        <f>IFERROR(VLOOKUP(Tabela2[[#This Row],[Campanha]],Campanhas!A:C,2,FALSE),"")</f>
        <v>46296</v>
      </c>
      <c r="N31" s="3"/>
    </row>
    <row r="32" spans="1:14">
      <c r="A32" t="s">
        <v>24</v>
      </c>
      <c r="B32" t="s">
        <v>46</v>
      </c>
      <c r="C32" t="s">
        <v>49</v>
      </c>
      <c r="D32" t="s">
        <v>40</v>
      </c>
      <c r="E32" t="s">
        <v>44</v>
      </c>
      <c r="F32" s="6" t="s">
        <v>45</v>
      </c>
      <c r="G32" s="2">
        <v>1.8499999999999999E-2</v>
      </c>
      <c r="J32" s="7">
        <v>46113</v>
      </c>
      <c r="K32" s="46">
        <v>46127</v>
      </c>
      <c r="L32" s="3">
        <f>IFERROR(VLOOKUP(Tabela2[[#This Row],[Campanha]],Campanhas!A:C,3,FALSE),"")</f>
        <v>46512</v>
      </c>
      <c r="M32" s="3">
        <f>IFERROR(VLOOKUP(Tabela2[[#This Row],[Campanha]],Campanhas!A:C,2,FALSE),"")</f>
        <v>46296</v>
      </c>
      <c r="N32" s="3"/>
    </row>
    <row r="33" spans="1:14">
      <c r="A33" t="s">
        <v>24</v>
      </c>
      <c r="B33" t="s">
        <v>38</v>
      </c>
      <c r="C33" t="s">
        <v>47</v>
      </c>
      <c r="D33" t="s">
        <v>40</v>
      </c>
      <c r="E33" t="s">
        <v>41</v>
      </c>
      <c r="F33" s="6" t="s">
        <v>42</v>
      </c>
      <c r="G33" s="2">
        <v>1.6400000000000001E-2</v>
      </c>
      <c r="H33" s="2">
        <v>0.04</v>
      </c>
      <c r="J33" s="7">
        <v>46113</v>
      </c>
      <c r="K33" s="46">
        <v>46127</v>
      </c>
      <c r="L33" s="3">
        <f>IFERROR(VLOOKUP(Tabela2[[#This Row],[Campanha]],Campanhas!A:C,3,FALSE),"")</f>
        <v>46512</v>
      </c>
      <c r="M33" s="3">
        <f>IFERROR(VLOOKUP(Tabela2[[#This Row],[Campanha]],Campanhas!A:C,2,FALSE),"")</f>
        <v>46296</v>
      </c>
      <c r="N33" s="3"/>
    </row>
    <row r="34" spans="1:14">
      <c r="A34" t="s">
        <v>24</v>
      </c>
      <c r="B34" t="s">
        <v>46</v>
      </c>
      <c r="C34" t="s">
        <v>47</v>
      </c>
      <c r="D34" t="s">
        <v>40</v>
      </c>
      <c r="E34" t="s">
        <v>44</v>
      </c>
      <c r="F34" s="6" t="s">
        <v>45</v>
      </c>
      <c r="G34" s="2">
        <v>1.8499999999999999E-2</v>
      </c>
      <c r="J34" s="7">
        <v>46113</v>
      </c>
      <c r="K34" s="46">
        <v>46127</v>
      </c>
      <c r="L34" s="3">
        <f>IFERROR(VLOOKUP(Tabela2[[#This Row],[Campanha]],Campanhas!A:C,3,FALSE),"")</f>
        <v>46512</v>
      </c>
      <c r="M34" s="3">
        <f>IFERROR(VLOOKUP(Tabela2[[#This Row],[Campanha]],Campanhas!A:C,2,FALSE),"")</f>
        <v>46296</v>
      </c>
      <c r="N34" s="3"/>
    </row>
    <row r="35" spans="1:14">
      <c r="A35" t="s">
        <v>24</v>
      </c>
      <c r="B35" t="s">
        <v>38</v>
      </c>
      <c r="C35" t="s">
        <v>50</v>
      </c>
      <c r="D35" t="s">
        <v>48</v>
      </c>
      <c r="E35" t="s">
        <v>44</v>
      </c>
      <c r="F35" s="6" t="s">
        <v>45</v>
      </c>
      <c r="G35" s="2">
        <v>1.14E-2</v>
      </c>
      <c r="H35" s="47">
        <v>0.04</v>
      </c>
      <c r="L35" s="3">
        <f>IFERROR(VLOOKUP(Tabela2[[#This Row],[Campanha]],Campanhas!A:C,3,FALSE),"")</f>
        <v>46512</v>
      </c>
      <c r="M35" s="3">
        <f>IFERROR(VLOOKUP(Tabela2[[#This Row],[Campanha]],Campanhas!A:C,2,FALSE),"")</f>
        <v>46296</v>
      </c>
      <c r="N35" s="3"/>
    </row>
    <row r="36" spans="1:14">
      <c r="A36" t="s">
        <v>24</v>
      </c>
      <c r="B36" t="s">
        <v>43</v>
      </c>
      <c r="C36" t="s">
        <v>50</v>
      </c>
      <c r="D36" t="s">
        <v>48</v>
      </c>
      <c r="E36" t="s">
        <v>44</v>
      </c>
      <c r="F36" s="6" t="s">
        <v>45</v>
      </c>
      <c r="G36" s="2">
        <v>1.2E-2</v>
      </c>
      <c r="H36" s="47"/>
      <c r="I36" s="2">
        <v>0.01</v>
      </c>
      <c r="L36" s="3">
        <f>IFERROR(VLOOKUP(Tabela2[[#This Row],[Campanha]],Campanhas!A:C,3,FALSE),"")</f>
        <v>46512</v>
      </c>
      <c r="M36" s="3">
        <f>IFERROR(VLOOKUP(Tabela2[[#This Row],[Campanha]],Campanhas!A:C,2,FALSE),"")</f>
        <v>46296</v>
      </c>
      <c r="N36" s="3"/>
    </row>
    <row r="37" spans="1:14">
      <c r="A37" t="s">
        <v>24</v>
      </c>
      <c r="B37" t="s">
        <v>46</v>
      </c>
      <c r="C37" t="s">
        <v>50</v>
      </c>
      <c r="D37" t="s">
        <v>48</v>
      </c>
      <c r="E37" t="s">
        <v>44</v>
      </c>
      <c r="F37" s="6" t="s">
        <v>45</v>
      </c>
      <c r="G37" s="2">
        <v>1.2E-2</v>
      </c>
      <c r="H37" s="47"/>
      <c r="L37" s="3">
        <f>IFERROR(VLOOKUP(Tabela2[[#This Row],[Campanha]],Campanhas!A:C,3,FALSE),"")</f>
        <v>46512</v>
      </c>
      <c r="M37" s="3">
        <f>IFERROR(VLOOKUP(Tabela2[[#This Row],[Campanha]],Campanhas!A:C,2,FALSE),"")</f>
        <v>46296</v>
      </c>
      <c r="N37" s="3"/>
    </row>
    <row r="38" spans="1:14">
      <c r="A38" t="s">
        <v>24</v>
      </c>
      <c r="B38" t="s">
        <v>38</v>
      </c>
      <c r="C38" t="s">
        <v>50</v>
      </c>
      <c r="D38" t="s">
        <v>40</v>
      </c>
      <c r="E38" t="s">
        <v>41</v>
      </c>
      <c r="F38" s="6" t="s">
        <v>42</v>
      </c>
      <c r="G38" s="2">
        <v>1.6400000000000001E-2</v>
      </c>
      <c r="H38" s="2">
        <v>0.04</v>
      </c>
      <c r="J38" s="7">
        <v>46113</v>
      </c>
      <c r="K38" s="46">
        <v>46127</v>
      </c>
      <c r="L38" s="3">
        <f>IFERROR(VLOOKUP(Tabela2[[#This Row],[Campanha]],Campanhas!A:C,3,FALSE),"")</f>
        <v>46512</v>
      </c>
      <c r="M38" s="3">
        <f>IFERROR(VLOOKUP(Tabela2[[#This Row],[Campanha]],Campanhas!A:C,2,FALSE),"")</f>
        <v>46296</v>
      </c>
      <c r="N38" s="3"/>
    </row>
    <row r="39" spans="1:14">
      <c r="A39" t="s">
        <v>24</v>
      </c>
      <c r="B39" t="s">
        <v>43</v>
      </c>
      <c r="C39" t="s">
        <v>50</v>
      </c>
      <c r="D39" t="s">
        <v>40</v>
      </c>
      <c r="E39" t="s">
        <v>44</v>
      </c>
      <c r="F39" s="6" t="s">
        <v>45</v>
      </c>
      <c r="G39" s="2">
        <v>1.8499999999999999E-2</v>
      </c>
      <c r="I39" s="2">
        <v>0.03</v>
      </c>
      <c r="J39" s="7">
        <v>46113</v>
      </c>
      <c r="K39" s="46">
        <v>46127</v>
      </c>
      <c r="L39" s="3">
        <f>IFERROR(VLOOKUP(Tabela2[[#This Row],[Campanha]],Campanhas!A:C,3,FALSE),"")</f>
        <v>46512</v>
      </c>
      <c r="M39" s="3">
        <f>IFERROR(VLOOKUP(Tabela2[[#This Row],[Campanha]],Campanhas!A:C,2,FALSE),"")</f>
        <v>46296</v>
      </c>
      <c r="N39" s="3"/>
    </row>
    <row r="40" spans="1:14">
      <c r="A40" t="s">
        <v>24</v>
      </c>
      <c r="B40" t="s">
        <v>46</v>
      </c>
      <c r="C40" t="s">
        <v>50</v>
      </c>
      <c r="D40" t="s">
        <v>40</v>
      </c>
      <c r="E40" t="s">
        <v>44</v>
      </c>
      <c r="F40" s="6" t="s">
        <v>45</v>
      </c>
      <c r="G40" s="2">
        <v>1.8499999999999999E-2</v>
      </c>
      <c r="J40" s="7">
        <v>46113</v>
      </c>
      <c r="K40" s="46">
        <v>46127</v>
      </c>
      <c r="L40" s="3">
        <f>IFERROR(VLOOKUP(Tabela2[[#This Row],[Campanha]],Campanhas!A:C,3,FALSE),"")</f>
        <v>46512</v>
      </c>
      <c r="M40" s="3">
        <f>IFERROR(VLOOKUP(Tabela2[[#This Row],[Campanha]],Campanhas!A:C,2,FALSE),"")</f>
        <v>46296</v>
      </c>
      <c r="N40" s="3"/>
    </row>
    <row r="41" spans="1:14" s="74" customFormat="1">
      <c r="A41" s="74" t="s">
        <v>4</v>
      </c>
      <c r="B41" s="74" t="s">
        <v>38</v>
      </c>
      <c r="C41" s="74" t="s">
        <v>39</v>
      </c>
      <c r="D41" s="74" t="s">
        <v>40</v>
      </c>
      <c r="E41" s="74" t="s">
        <v>41</v>
      </c>
      <c r="F41" s="80" t="s">
        <v>42</v>
      </c>
      <c r="G41" s="76">
        <v>1.6899999999999998E-2</v>
      </c>
      <c r="H41" s="76">
        <v>0.04</v>
      </c>
      <c r="I41" s="76"/>
      <c r="J41" s="77">
        <v>46128</v>
      </c>
      <c r="K41" s="78">
        <v>46142</v>
      </c>
      <c r="L41" s="79">
        <f>IFERROR(VLOOKUP(Tabela2[[#This Row],[Campanha]],Campanhas!A:C,3,FALSE),"")</f>
        <v>46512</v>
      </c>
      <c r="M41" s="79">
        <f>IFERROR(VLOOKUP(Tabela2[[#This Row],[Campanha]],Campanhas!A:C,2,FALSE),"")</f>
        <v>46357</v>
      </c>
      <c r="N41" s="79"/>
    </row>
    <row r="42" spans="1:14" s="74" customFormat="1">
      <c r="A42" s="74" t="s">
        <v>4</v>
      </c>
      <c r="B42" s="74" t="s">
        <v>43</v>
      </c>
      <c r="C42" s="74" t="s">
        <v>39</v>
      </c>
      <c r="D42" s="74" t="s">
        <v>40</v>
      </c>
      <c r="E42" s="74" t="s">
        <v>44</v>
      </c>
      <c r="F42" s="80" t="s">
        <v>45</v>
      </c>
      <c r="G42" s="76">
        <v>1.8499999999999999E-2</v>
      </c>
      <c r="H42" s="76"/>
      <c r="I42" s="76">
        <v>0.04</v>
      </c>
      <c r="J42" s="77">
        <v>46128</v>
      </c>
      <c r="K42" s="78">
        <v>46142</v>
      </c>
      <c r="L42" s="79">
        <f>IFERROR(VLOOKUP(Tabela2[[#This Row],[Campanha]],Campanhas!A:C,3,FALSE),"")</f>
        <v>46512</v>
      </c>
      <c r="M42" s="79">
        <f>IFERROR(VLOOKUP(Tabela2[[#This Row],[Campanha]],Campanhas!A:C,2,FALSE),"")</f>
        <v>46357</v>
      </c>
      <c r="N42" s="79"/>
    </row>
    <row r="43" spans="1:14" s="74" customFormat="1">
      <c r="A43" s="74" t="s">
        <v>4</v>
      </c>
      <c r="B43" s="74" t="s">
        <v>46</v>
      </c>
      <c r="C43" s="74" t="s">
        <v>39</v>
      </c>
      <c r="D43" s="74" t="s">
        <v>40</v>
      </c>
      <c r="E43" s="74" t="s">
        <v>44</v>
      </c>
      <c r="F43" s="80" t="s">
        <v>45</v>
      </c>
      <c r="G43" s="76">
        <v>1.8499999999999999E-2</v>
      </c>
      <c r="H43" s="76"/>
      <c r="I43" s="76"/>
      <c r="J43" s="77">
        <v>46128</v>
      </c>
      <c r="K43" s="78">
        <v>46142</v>
      </c>
      <c r="L43" s="79">
        <f>IFERROR(VLOOKUP(Tabela2[[#This Row],[Campanha]],Campanhas!A:C,3,FALSE),"")</f>
        <v>46512</v>
      </c>
      <c r="M43" s="79">
        <f>IFERROR(VLOOKUP(Tabela2[[#This Row],[Campanha]],Campanhas!A:C,2,FALSE),"")</f>
        <v>46357</v>
      </c>
      <c r="N43" s="79"/>
    </row>
    <row r="44" spans="1:14" s="74" customFormat="1">
      <c r="A44" s="74" t="s">
        <v>3</v>
      </c>
      <c r="B44" s="74" t="s">
        <v>38</v>
      </c>
      <c r="C44" s="74" t="s">
        <v>39</v>
      </c>
      <c r="D44" s="74" t="s">
        <v>40</v>
      </c>
      <c r="E44" s="74" t="s">
        <v>41</v>
      </c>
      <c r="F44" s="75" t="s">
        <v>42</v>
      </c>
      <c r="G44" s="76">
        <v>1.7899999999999999E-2</v>
      </c>
      <c r="H44" s="76">
        <v>0.04</v>
      </c>
      <c r="I44" s="76"/>
      <c r="J44" s="77">
        <v>46128</v>
      </c>
      <c r="K44" s="78">
        <v>46142</v>
      </c>
      <c r="L44" s="79">
        <f>IFERROR(VLOOKUP(Tabela2[[#This Row],[Campanha]],Campanhas!A:C,3,FALSE),"")</f>
        <v>46512</v>
      </c>
      <c r="M44" s="79">
        <f>IFERROR(VLOOKUP(Tabela2[[#This Row],[Campanha]],Campanhas!A:C,2,FALSE),"")</f>
        <v>46357</v>
      </c>
      <c r="N44" s="79"/>
    </row>
    <row r="45" spans="1:14" s="74" customFormat="1">
      <c r="A45" s="74" t="s">
        <v>3</v>
      </c>
      <c r="B45" s="74" t="s">
        <v>43</v>
      </c>
      <c r="C45" s="74" t="s">
        <v>39</v>
      </c>
      <c r="D45" s="74" t="s">
        <v>40</v>
      </c>
      <c r="E45" s="74" t="s">
        <v>44</v>
      </c>
      <c r="F45" s="75" t="s">
        <v>45</v>
      </c>
      <c r="G45" s="76">
        <v>1.8499999999999999E-2</v>
      </c>
      <c r="H45" s="76"/>
      <c r="I45" s="76">
        <v>0.03</v>
      </c>
      <c r="J45" s="77">
        <v>46128</v>
      </c>
      <c r="K45" s="78">
        <v>46142</v>
      </c>
      <c r="L45" s="79">
        <f>IFERROR(VLOOKUP(Tabela2[[#This Row],[Campanha]],Campanhas!A:C,3,FALSE),"")</f>
        <v>46512</v>
      </c>
      <c r="M45" s="79">
        <f>IFERROR(VLOOKUP(Tabela2[[#This Row],[Campanha]],Campanhas!A:C,2,FALSE),"")</f>
        <v>46357</v>
      </c>
      <c r="N45" s="79"/>
    </row>
    <row r="46" spans="1:14" s="74" customFormat="1">
      <c r="A46" s="74" t="s">
        <v>3</v>
      </c>
      <c r="B46" s="74" t="s">
        <v>46</v>
      </c>
      <c r="C46" s="74" t="s">
        <v>39</v>
      </c>
      <c r="D46" s="74" t="s">
        <v>40</v>
      </c>
      <c r="E46" s="74" t="s">
        <v>44</v>
      </c>
      <c r="F46" s="75" t="s">
        <v>45</v>
      </c>
      <c r="G46" s="76">
        <v>1.8499999999999999E-2</v>
      </c>
      <c r="H46" s="76"/>
      <c r="I46" s="76"/>
      <c r="J46" s="77">
        <v>46128</v>
      </c>
      <c r="K46" s="78">
        <v>46142</v>
      </c>
      <c r="L46" s="79">
        <f>IFERROR(VLOOKUP(Tabela2[[#This Row],[Campanha]],Campanhas!A:C,3,FALSE),"")</f>
        <v>46512</v>
      </c>
      <c r="M46" s="79">
        <f>IFERROR(VLOOKUP(Tabela2[[#This Row],[Campanha]],Campanhas!A:C,2,FALSE),"")</f>
        <v>46357</v>
      </c>
      <c r="N46" s="79"/>
    </row>
    <row r="47" spans="1:14" s="74" customFormat="1">
      <c r="A47" s="74" t="s">
        <v>5</v>
      </c>
      <c r="B47" s="74" t="s">
        <v>43</v>
      </c>
      <c r="C47" s="74" t="s">
        <v>39</v>
      </c>
      <c r="D47" s="74" t="s">
        <v>40</v>
      </c>
      <c r="E47" s="74" t="s">
        <v>44</v>
      </c>
      <c r="F47" s="75" t="s">
        <v>45</v>
      </c>
      <c r="G47" s="76">
        <v>1.8499999999999999E-2</v>
      </c>
      <c r="H47" s="76"/>
      <c r="I47" s="76">
        <v>0.01</v>
      </c>
      <c r="J47" s="77">
        <v>46128</v>
      </c>
      <c r="K47" s="78">
        <v>46142</v>
      </c>
      <c r="L47" s="79">
        <f>IFERROR(VLOOKUP(Tabela2[[#This Row],[Campanha]],Campanhas!A:C,3,FALSE),"")</f>
        <v>46512</v>
      </c>
      <c r="M47" s="79">
        <f>IFERROR(VLOOKUP(Tabela2[[#This Row],[Campanha]],Campanhas!A:C,2,FALSE),"")</f>
        <v>46357</v>
      </c>
      <c r="N47" s="79"/>
    </row>
    <row r="48" spans="1:14" s="74" customFormat="1">
      <c r="A48" s="74" t="s">
        <v>5</v>
      </c>
      <c r="B48" s="74" t="s">
        <v>46</v>
      </c>
      <c r="C48" s="74" t="s">
        <v>39</v>
      </c>
      <c r="D48" s="74" t="s">
        <v>40</v>
      </c>
      <c r="E48" s="74" t="s">
        <v>44</v>
      </c>
      <c r="F48" s="75" t="s">
        <v>45</v>
      </c>
      <c r="G48" s="76">
        <v>1.8499999999999999E-2</v>
      </c>
      <c r="H48" s="76"/>
      <c r="I48" s="76"/>
      <c r="J48" s="77">
        <v>46128</v>
      </c>
      <c r="K48" s="78">
        <v>46142</v>
      </c>
      <c r="L48" s="79">
        <f>IFERROR(VLOOKUP(Tabela2[[#This Row],[Campanha]],Campanhas!A:C,3,FALSE),"")</f>
        <v>46512</v>
      </c>
      <c r="M48" s="79">
        <f>IFERROR(VLOOKUP(Tabela2[[#This Row],[Campanha]],Campanhas!A:C,2,FALSE),"")</f>
        <v>46357</v>
      </c>
      <c r="N48" s="79"/>
    </row>
    <row r="49" spans="1:14" s="74" customFormat="1">
      <c r="A49" s="74" t="s">
        <v>6</v>
      </c>
      <c r="B49" s="74" t="s">
        <v>43</v>
      </c>
      <c r="C49" s="74" t="s">
        <v>39</v>
      </c>
      <c r="D49" s="74" t="s">
        <v>40</v>
      </c>
      <c r="E49" s="74" t="s">
        <v>44</v>
      </c>
      <c r="F49" s="75" t="s">
        <v>45</v>
      </c>
      <c r="G49" s="76">
        <v>1.8499999999999999E-2</v>
      </c>
      <c r="H49" s="76"/>
      <c r="I49" s="76">
        <v>0.01</v>
      </c>
      <c r="J49" s="77">
        <v>46128</v>
      </c>
      <c r="K49" s="78">
        <v>46142</v>
      </c>
      <c r="L49" s="79">
        <f>IFERROR(VLOOKUP(Tabela2[[#This Row],[Campanha]],Campanhas!A:C,3,FALSE),"")</f>
        <v>46512</v>
      </c>
      <c r="M49" s="79">
        <f>IFERROR(VLOOKUP(Tabela2[[#This Row],[Campanha]],Campanhas!A:C,2,FALSE),"")</f>
        <v>46357</v>
      </c>
      <c r="N49" s="79"/>
    </row>
    <row r="50" spans="1:14" s="74" customFormat="1">
      <c r="A50" s="74" t="s">
        <v>6</v>
      </c>
      <c r="B50" s="74" t="s">
        <v>46</v>
      </c>
      <c r="C50" s="74" t="s">
        <v>39</v>
      </c>
      <c r="D50" s="74" t="s">
        <v>40</v>
      </c>
      <c r="E50" s="74" t="s">
        <v>44</v>
      </c>
      <c r="F50" s="75" t="s">
        <v>45</v>
      </c>
      <c r="G50" s="76">
        <v>1.8499999999999999E-2</v>
      </c>
      <c r="H50" s="76"/>
      <c r="I50" s="76"/>
      <c r="J50" s="77">
        <v>46128</v>
      </c>
      <c r="K50" s="78">
        <v>46142</v>
      </c>
      <c r="L50" s="79">
        <f>IFERROR(VLOOKUP(Tabela2[[#This Row],[Campanha]],Campanhas!A:C,3,FALSE),"")</f>
        <v>46512</v>
      </c>
      <c r="M50" s="79">
        <f>IFERROR(VLOOKUP(Tabela2[[#This Row],[Campanha]],Campanhas!A:C,2,FALSE),"")</f>
        <v>46357</v>
      </c>
      <c r="N50" s="79"/>
    </row>
    <row r="51" spans="1:14" s="74" customFormat="1">
      <c r="A51" s="74" t="s">
        <v>15</v>
      </c>
      <c r="B51" s="74" t="s">
        <v>46</v>
      </c>
      <c r="C51" s="74" t="s">
        <v>47</v>
      </c>
      <c r="D51" s="74" t="s">
        <v>40</v>
      </c>
      <c r="E51" s="74" t="s">
        <v>44</v>
      </c>
      <c r="F51" s="75" t="s">
        <v>45</v>
      </c>
      <c r="G51" s="76">
        <v>1.8499999999999999E-2</v>
      </c>
      <c r="H51" s="76"/>
      <c r="I51" s="76"/>
      <c r="J51" s="77">
        <v>46128</v>
      </c>
      <c r="K51" s="78">
        <v>46142</v>
      </c>
      <c r="L51" s="79">
        <f>IFERROR(VLOOKUP(Tabela2[[#This Row],[Campanha]],Campanhas!A:C,3,FALSE),"")</f>
        <v>46512</v>
      </c>
      <c r="M51" s="79">
        <f>IFERROR(VLOOKUP(Tabela2[[#This Row],[Campanha]],Campanhas!A:C,2,FALSE),"")</f>
        <v>46357</v>
      </c>
      <c r="N51" s="79"/>
    </row>
    <row r="52" spans="1:14" s="74" customFormat="1">
      <c r="A52" s="74" t="s">
        <v>15</v>
      </c>
      <c r="B52" s="74" t="s">
        <v>38</v>
      </c>
      <c r="C52" s="74" t="s">
        <v>47</v>
      </c>
      <c r="D52" s="74" t="s">
        <v>40</v>
      </c>
      <c r="E52" s="74" t="s">
        <v>41</v>
      </c>
      <c r="F52" s="75" t="s">
        <v>42</v>
      </c>
      <c r="G52" s="76">
        <v>1.67E-2</v>
      </c>
      <c r="H52" s="76">
        <v>0.04</v>
      </c>
      <c r="I52" s="76"/>
      <c r="J52" s="77">
        <v>46128</v>
      </c>
      <c r="K52" s="78">
        <v>46142</v>
      </c>
      <c r="L52" s="79">
        <f>IFERROR(VLOOKUP(Tabela2[[#This Row],[Campanha]],Campanhas!A:C,3,FALSE),"")</f>
        <v>46512</v>
      </c>
      <c r="M52" s="79">
        <f>IFERROR(VLOOKUP(Tabela2[[#This Row],[Campanha]],Campanhas!A:C,2,FALSE),"")</f>
        <v>46357</v>
      </c>
      <c r="N52" s="79"/>
    </row>
    <row r="53" spans="1:14" s="67" customFormat="1">
      <c r="A53" s="67" t="s">
        <v>8</v>
      </c>
      <c r="B53" s="67" t="s">
        <v>38</v>
      </c>
      <c r="C53" s="67" t="s">
        <v>39</v>
      </c>
      <c r="D53" s="67" t="s">
        <v>40</v>
      </c>
      <c r="E53" s="67" t="s">
        <v>41</v>
      </c>
      <c r="F53" s="68" t="s">
        <v>42</v>
      </c>
      <c r="G53" s="69">
        <v>1.66E-2</v>
      </c>
      <c r="H53" s="69">
        <v>0.04</v>
      </c>
      <c r="I53" s="69"/>
      <c r="J53" s="70">
        <v>46128</v>
      </c>
      <c r="K53" s="71">
        <v>46142</v>
      </c>
      <c r="L53" s="72">
        <f>IFERROR(VLOOKUP(Tabela2[[#This Row],[Campanha]],Campanhas!A:C,3,FALSE),"")</f>
        <v>46512</v>
      </c>
      <c r="M53" s="72">
        <f>IFERROR(VLOOKUP(Tabela2[[#This Row],[Campanha]],Campanhas!A:C,2,FALSE),"")</f>
        <v>46327</v>
      </c>
      <c r="N53" s="72"/>
    </row>
    <row r="54" spans="1:14" s="67" customFormat="1">
      <c r="A54" s="67" t="s">
        <v>8</v>
      </c>
      <c r="B54" s="67" t="s">
        <v>43</v>
      </c>
      <c r="C54" s="67" t="s">
        <v>39</v>
      </c>
      <c r="D54" s="67" t="s">
        <v>40</v>
      </c>
      <c r="E54" s="67" t="s">
        <v>44</v>
      </c>
      <c r="F54" s="68" t="s">
        <v>45</v>
      </c>
      <c r="G54" s="69">
        <v>1.8499999999999999E-2</v>
      </c>
      <c r="H54" s="69"/>
      <c r="I54" s="69">
        <v>0.04</v>
      </c>
      <c r="J54" s="70">
        <v>46128</v>
      </c>
      <c r="K54" s="71">
        <v>46142</v>
      </c>
      <c r="L54" s="72">
        <f>IFERROR(VLOOKUP(Tabela2[[#This Row],[Campanha]],Campanhas!A:C,3,FALSE),"")</f>
        <v>46512</v>
      </c>
      <c r="M54" s="72">
        <f>IFERROR(VLOOKUP(Tabela2[[#This Row],[Campanha]],Campanhas!A:C,2,FALSE),"")</f>
        <v>46327</v>
      </c>
      <c r="N54" s="72"/>
    </row>
    <row r="55" spans="1:14" s="67" customFormat="1">
      <c r="A55" s="67" t="s">
        <v>8</v>
      </c>
      <c r="B55" s="67" t="s">
        <v>46</v>
      </c>
      <c r="C55" s="67" t="s">
        <v>39</v>
      </c>
      <c r="D55" s="67" t="s">
        <v>40</v>
      </c>
      <c r="E55" s="67" t="s">
        <v>44</v>
      </c>
      <c r="F55" s="68" t="s">
        <v>45</v>
      </c>
      <c r="G55" s="69">
        <v>1.8499999999999999E-2</v>
      </c>
      <c r="H55" s="69"/>
      <c r="I55" s="69"/>
      <c r="J55" s="70">
        <v>46128</v>
      </c>
      <c r="K55" s="71">
        <v>46142</v>
      </c>
      <c r="L55" s="72">
        <f>IFERROR(VLOOKUP(Tabela2[[#This Row],[Campanha]],Campanhas!A:C,3,FALSE),"")</f>
        <v>46512</v>
      </c>
      <c r="M55" s="72">
        <f>IFERROR(VLOOKUP(Tabela2[[#This Row],[Campanha]],Campanhas!A:C,2,FALSE),"")</f>
        <v>46327</v>
      </c>
      <c r="N55" s="72"/>
    </row>
    <row r="56" spans="1:14" s="67" customFormat="1">
      <c r="A56" s="67" t="s">
        <v>7</v>
      </c>
      <c r="B56" s="67" t="s">
        <v>38</v>
      </c>
      <c r="C56" s="67" t="s">
        <v>39</v>
      </c>
      <c r="D56" s="67" t="s">
        <v>40</v>
      </c>
      <c r="E56" s="67" t="s">
        <v>41</v>
      </c>
      <c r="F56" s="73" t="s">
        <v>42</v>
      </c>
      <c r="G56" s="69">
        <v>1.7100000000000001E-2</v>
      </c>
      <c r="H56" s="69">
        <v>0.04</v>
      </c>
      <c r="I56" s="69"/>
      <c r="J56" s="70">
        <v>46128</v>
      </c>
      <c r="K56" s="71">
        <v>46142</v>
      </c>
      <c r="L56" s="72">
        <f>IFERROR(VLOOKUP(Tabela2[[#This Row],[Campanha]],Campanhas!A:C,3,FALSE),"")</f>
        <v>46512</v>
      </c>
      <c r="M56" s="72">
        <f>IFERROR(VLOOKUP(Tabela2[[#This Row],[Campanha]],Campanhas!A:C,2,FALSE),"")</f>
        <v>46327</v>
      </c>
      <c r="N56" s="72"/>
    </row>
    <row r="57" spans="1:14" s="67" customFormat="1">
      <c r="A57" s="67" t="s">
        <v>7</v>
      </c>
      <c r="B57" s="67" t="s">
        <v>43</v>
      </c>
      <c r="C57" s="67" t="s">
        <v>39</v>
      </c>
      <c r="D57" s="67" t="s">
        <v>40</v>
      </c>
      <c r="E57" s="67" t="s">
        <v>44</v>
      </c>
      <c r="F57" s="73" t="s">
        <v>45</v>
      </c>
      <c r="G57" s="69">
        <v>1.8499999999999999E-2</v>
      </c>
      <c r="H57" s="69"/>
      <c r="I57" s="69">
        <v>0.03</v>
      </c>
      <c r="J57" s="70">
        <v>46128</v>
      </c>
      <c r="K57" s="71">
        <v>46142</v>
      </c>
      <c r="L57" s="72">
        <f>IFERROR(VLOOKUP(Tabela2[[#This Row],[Campanha]],Campanhas!A:C,3,FALSE),"")</f>
        <v>46512</v>
      </c>
      <c r="M57" s="72">
        <f>IFERROR(VLOOKUP(Tabela2[[#This Row],[Campanha]],Campanhas!A:C,2,FALSE),"")</f>
        <v>46327</v>
      </c>
      <c r="N57" s="72"/>
    </row>
    <row r="58" spans="1:14" s="67" customFormat="1">
      <c r="A58" s="67" t="s">
        <v>7</v>
      </c>
      <c r="B58" s="67" t="s">
        <v>46</v>
      </c>
      <c r="C58" s="67" t="s">
        <v>39</v>
      </c>
      <c r="D58" s="67" t="s">
        <v>40</v>
      </c>
      <c r="E58" s="67" t="s">
        <v>44</v>
      </c>
      <c r="F58" s="73" t="s">
        <v>45</v>
      </c>
      <c r="G58" s="69">
        <v>1.8499999999999999E-2</v>
      </c>
      <c r="H58" s="69"/>
      <c r="I58" s="69"/>
      <c r="J58" s="70">
        <v>46128</v>
      </c>
      <c r="K58" s="71">
        <v>46142</v>
      </c>
      <c r="L58" s="72">
        <f>IFERROR(VLOOKUP(Tabela2[[#This Row],[Campanha]],Campanhas!A:C,3,FALSE),"")</f>
        <v>46512</v>
      </c>
      <c r="M58" s="72">
        <f>IFERROR(VLOOKUP(Tabela2[[#This Row],[Campanha]],Campanhas!A:C,2,FALSE),"")</f>
        <v>46327</v>
      </c>
      <c r="N58" s="72"/>
    </row>
    <row r="59" spans="1:14" s="74" customFormat="1">
      <c r="A59" s="74" t="s">
        <v>9</v>
      </c>
      <c r="B59" s="74" t="s">
        <v>43</v>
      </c>
      <c r="C59" s="74" t="s">
        <v>39</v>
      </c>
      <c r="D59" s="74" t="s">
        <v>40</v>
      </c>
      <c r="E59" s="74" t="s">
        <v>44</v>
      </c>
      <c r="F59" s="75" t="s">
        <v>45</v>
      </c>
      <c r="G59" s="76">
        <v>1.8499999999999999E-2</v>
      </c>
      <c r="H59" s="76"/>
      <c r="I59" s="76">
        <v>0.01</v>
      </c>
      <c r="J59" s="77">
        <v>46128</v>
      </c>
      <c r="K59" s="78">
        <v>46142</v>
      </c>
      <c r="L59" s="79">
        <f>IFERROR(VLOOKUP(Tabela2[[#This Row],[Campanha]],Campanhas!A:C,3,FALSE),"")</f>
        <v>46512</v>
      </c>
      <c r="M59" s="79">
        <f>IFERROR(VLOOKUP(Tabela2[[#This Row],[Campanha]],Campanhas!A:C,2,FALSE),"")</f>
        <v>46327</v>
      </c>
      <c r="N59" s="79"/>
    </row>
    <row r="60" spans="1:14" s="74" customFormat="1">
      <c r="A60" s="74" t="s">
        <v>9</v>
      </c>
      <c r="B60" s="74" t="s">
        <v>46</v>
      </c>
      <c r="C60" s="74" t="s">
        <v>39</v>
      </c>
      <c r="D60" s="74" t="s">
        <v>40</v>
      </c>
      <c r="E60" s="74" t="s">
        <v>44</v>
      </c>
      <c r="F60" s="75" t="s">
        <v>45</v>
      </c>
      <c r="G60" s="76">
        <v>1.8499999999999999E-2</v>
      </c>
      <c r="H60" s="76"/>
      <c r="I60" s="76"/>
      <c r="J60" s="77">
        <v>46128</v>
      </c>
      <c r="K60" s="78">
        <v>46142</v>
      </c>
      <c r="L60" s="79">
        <f>IFERROR(VLOOKUP(Tabela2[[#This Row],[Campanha]],Campanhas!A:C,3,FALSE),"")</f>
        <v>46512</v>
      </c>
      <c r="M60" s="79">
        <f>IFERROR(VLOOKUP(Tabela2[[#This Row],[Campanha]],Campanhas!A:C,2,FALSE),"")</f>
        <v>46327</v>
      </c>
      <c r="N60" s="79"/>
    </row>
    <row r="61" spans="1:14" s="74" customFormat="1">
      <c r="A61" s="74" t="s">
        <v>10</v>
      </c>
      <c r="B61" s="74" t="s">
        <v>43</v>
      </c>
      <c r="C61" s="74" t="s">
        <v>39</v>
      </c>
      <c r="D61" s="74" t="s">
        <v>40</v>
      </c>
      <c r="E61" s="74" t="s">
        <v>44</v>
      </c>
      <c r="F61" s="75" t="s">
        <v>45</v>
      </c>
      <c r="G61" s="76">
        <v>1.8499999999999999E-2</v>
      </c>
      <c r="H61" s="76"/>
      <c r="I61" s="76">
        <v>0.01</v>
      </c>
      <c r="J61" s="77">
        <v>46128</v>
      </c>
      <c r="K61" s="78">
        <v>46142</v>
      </c>
      <c r="L61" s="79">
        <f>IFERROR(VLOOKUP(Tabela2[[#This Row],[Campanha]],Campanhas!A:C,3,FALSE),"")</f>
        <v>46512</v>
      </c>
      <c r="M61" s="79">
        <f>IFERROR(VLOOKUP(Tabela2[[#This Row],[Campanha]],Campanhas!A:C,2,FALSE),"")</f>
        <v>46327</v>
      </c>
      <c r="N61" s="79"/>
    </row>
    <row r="62" spans="1:14" s="74" customFormat="1">
      <c r="A62" s="74" t="s">
        <v>10</v>
      </c>
      <c r="B62" s="74" t="s">
        <v>46</v>
      </c>
      <c r="C62" s="74" t="s">
        <v>39</v>
      </c>
      <c r="D62" s="74" t="s">
        <v>40</v>
      </c>
      <c r="E62" s="74" t="s">
        <v>44</v>
      </c>
      <c r="F62" s="75" t="s">
        <v>45</v>
      </c>
      <c r="G62" s="76">
        <v>1.8499999999999999E-2</v>
      </c>
      <c r="H62" s="76"/>
      <c r="I62" s="76"/>
      <c r="J62" s="77">
        <v>46128</v>
      </c>
      <c r="K62" s="78">
        <v>46142</v>
      </c>
      <c r="L62" s="79">
        <f>IFERROR(VLOOKUP(Tabela2[[#This Row],[Campanha]],Campanhas!A:C,3,FALSE),"")</f>
        <v>46512</v>
      </c>
      <c r="M62" s="79">
        <f>IFERROR(VLOOKUP(Tabela2[[#This Row],[Campanha]],Campanhas!A:C,2,FALSE),"")</f>
        <v>46327</v>
      </c>
      <c r="N62" s="79"/>
    </row>
    <row r="63" spans="1:14" s="74" customFormat="1">
      <c r="A63" s="74" t="s">
        <v>16</v>
      </c>
      <c r="B63" s="74" t="s">
        <v>46</v>
      </c>
      <c r="C63" s="74" t="s">
        <v>47</v>
      </c>
      <c r="D63" s="74" t="s">
        <v>40</v>
      </c>
      <c r="E63" s="74" t="s">
        <v>44</v>
      </c>
      <c r="F63" s="75" t="s">
        <v>45</v>
      </c>
      <c r="G63" s="76">
        <v>1.8499999999999999E-2</v>
      </c>
      <c r="H63" s="76"/>
      <c r="I63" s="76"/>
      <c r="J63" s="77">
        <v>46128</v>
      </c>
      <c r="K63" s="78">
        <v>46142</v>
      </c>
      <c r="L63" s="79">
        <f>IFERROR(VLOOKUP(Tabela2[[#This Row],[Campanha]],Campanhas!A:C,3,FALSE),"")</f>
        <v>46512</v>
      </c>
      <c r="M63" s="79">
        <f>IFERROR(VLOOKUP(Tabela2[[#This Row],[Campanha]],Campanhas!A:C,2,FALSE),"")</f>
        <v>46327</v>
      </c>
      <c r="N63" s="79"/>
    </row>
    <row r="64" spans="1:14" s="74" customFormat="1">
      <c r="A64" s="74" t="s">
        <v>16</v>
      </c>
      <c r="B64" s="74" t="s">
        <v>38</v>
      </c>
      <c r="C64" s="74" t="s">
        <v>47</v>
      </c>
      <c r="D64" s="74" t="s">
        <v>40</v>
      </c>
      <c r="E64" s="74" t="s">
        <v>41</v>
      </c>
      <c r="F64" s="75" t="s">
        <v>42</v>
      </c>
      <c r="G64" s="76">
        <v>1.6199999999999999E-2</v>
      </c>
      <c r="H64" s="76">
        <v>0.04</v>
      </c>
      <c r="I64" s="76"/>
      <c r="J64" s="77">
        <v>46128</v>
      </c>
      <c r="K64" s="78">
        <v>46142</v>
      </c>
      <c r="L64" s="79">
        <f>IFERROR(VLOOKUP(Tabela2[[#This Row],[Campanha]],Campanhas!A:C,3,FALSE),"")</f>
        <v>46512</v>
      </c>
      <c r="M64" s="79">
        <f>IFERROR(VLOOKUP(Tabela2[[#This Row],[Campanha]],Campanhas!A:C,2,FALSE),"")</f>
        <v>46327</v>
      </c>
      <c r="N64" s="79"/>
    </row>
    <row r="65" spans="1:14" s="60" customFormat="1">
      <c r="A65" s="67" t="s">
        <v>12</v>
      </c>
      <c r="B65" s="67" t="s">
        <v>38</v>
      </c>
      <c r="C65" s="67" t="s">
        <v>39</v>
      </c>
      <c r="D65" s="67" t="s">
        <v>40</v>
      </c>
      <c r="E65" s="67" t="s">
        <v>41</v>
      </c>
      <c r="F65" s="68" t="s">
        <v>42</v>
      </c>
      <c r="G65" s="69">
        <v>1.6299999999999999E-2</v>
      </c>
      <c r="H65" s="69">
        <v>0.04</v>
      </c>
      <c r="I65" s="69"/>
      <c r="J65" s="70">
        <v>46128</v>
      </c>
      <c r="K65" s="71">
        <v>46142</v>
      </c>
      <c r="L65" s="72">
        <f>IFERROR(VLOOKUP(Tabela2[[#This Row],[Campanha]],Campanhas!A:C,3,FALSE),"")</f>
        <v>46543</v>
      </c>
      <c r="M65" s="72">
        <f>IFERROR(VLOOKUP(Tabela2[[#This Row],[Campanha]],Campanhas!A:C,2,FALSE),"")</f>
        <v>46327</v>
      </c>
      <c r="N65" s="72"/>
    </row>
    <row r="66" spans="1:14" s="60" customFormat="1">
      <c r="A66" s="67" t="s">
        <v>12</v>
      </c>
      <c r="B66" s="67" t="s">
        <v>43</v>
      </c>
      <c r="C66" s="67" t="s">
        <v>39</v>
      </c>
      <c r="D66" s="67" t="s">
        <v>40</v>
      </c>
      <c r="E66" s="67" t="s">
        <v>44</v>
      </c>
      <c r="F66" s="68" t="s">
        <v>45</v>
      </c>
      <c r="G66" s="69">
        <v>1.8499999999999999E-2</v>
      </c>
      <c r="H66" s="69"/>
      <c r="I66" s="69">
        <v>0.04</v>
      </c>
      <c r="J66" s="70">
        <v>46128</v>
      </c>
      <c r="K66" s="71">
        <v>46142</v>
      </c>
      <c r="L66" s="72">
        <f>IFERROR(VLOOKUP(Tabela2[[#This Row],[Campanha]],Campanhas!A:C,3,FALSE),"")</f>
        <v>46543</v>
      </c>
      <c r="M66" s="72">
        <f>IFERROR(VLOOKUP(Tabela2[[#This Row],[Campanha]],Campanhas!A:C,2,FALSE),"")</f>
        <v>46327</v>
      </c>
      <c r="N66" s="72"/>
    </row>
    <row r="67" spans="1:14" s="60" customFormat="1">
      <c r="A67" s="67" t="s">
        <v>12</v>
      </c>
      <c r="B67" s="67" t="s">
        <v>46</v>
      </c>
      <c r="C67" s="67" t="s">
        <v>39</v>
      </c>
      <c r="D67" s="67" t="s">
        <v>40</v>
      </c>
      <c r="E67" s="67" t="s">
        <v>44</v>
      </c>
      <c r="F67" s="68" t="s">
        <v>45</v>
      </c>
      <c r="G67" s="69">
        <v>1.8499999999999999E-2</v>
      </c>
      <c r="H67" s="69"/>
      <c r="I67" s="69"/>
      <c r="J67" s="70">
        <v>46128</v>
      </c>
      <c r="K67" s="71">
        <v>46142</v>
      </c>
      <c r="L67" s="72">
        <f>IFERROR(VLOOKUP(Tabela2[[#This Row],[Campanha]],Campanhas!A:C,3,FALSE),"")</f>
        <v>46543</v>
      </c>
      <c r="M67" s="72">
        <f>IFERROR(VLOOKUP(Tabela2[[#This Row],[Campanha]],Campanhas!A:C,2,FALSE),"")</f>
        <v>46327</v>
      </c>
      <c r="N67" s="72"/>
    </row>
    <row r="68" spans="1:14" s="61" customFormat="1">
      <c r="A68" s="61" t="s">
        <v>11</v>
      </c>
      <c r="B68" s="61" t="s">
        <v>38</v>
      </c>
      <c r="C68" s="61" t="s">
        <v>39</v>
      </c>
      <c r="D68" s="61" t="s">
        <v>40</v>
      </c>
      <c r="E68" s="61" t="s">
        <v>41</v>
      </c>
      <c r="F68" s="62" t="s">
        <v>42</v>
      </c>
      <c r="G68" s="63">
        <v>1.6799999999999999E-2</v>
      </c>
      <c r="H68" s="63">
        <v>0.04</v>
      </c>
      <c r="I68" s="63"/>
      <c r="J68" s="64">
        <v>46128</v>
      </c>
      <c r="K68" s="65">
        <v>46142</v>
      </c>
      <c r="L68" s="66">
        <f>IFERROR(VLOOKUP(Tabela2[[#This Row],[Campanha]],Campanhas!A:C,3,FALSE),"")</f>
        <v>46543</v>
      </c>
      <c r="M68" s="66">
        <f>IFERROR(VLOOKUP(Tabela2[[#This Row],[Campanha]],Campanhas!A:C,2,FALSE),"")</f>
        <v>46327</v>
      </c>
      <c r="N68" s="66"/>
    </row>
    <row r="69" spans="1:14" s="61" customFormat="1">
      <c r="A69" s="61" t="s">
        <v>11</v>
      </c>
      <c r="B69" s="61" t="s">
        <v>43</v>
      </c>
      <c r="C69" s="61" t="s">
        <v>39</v>
      </c>
      <c r="D69" s="61" t="s">
        <v>40</v>
      </c>
      <c r="E69" s="61" t="s">
        <v>44</v>
      </c>
      <c r="F69" s="62" t="s">
        <v>45</v>
      </c>
      <c r="G69" s="63">
        <v>1.8499999999999999E-2</v>
      </c>
      <c r="H69" s="63"/>
      <c r="I69" s="63">
        <v>0.03</v>
      </c>
      <c r="J69" s="64">
        <v>46128</v>
      </c>
      <c r="K69" s="65">
        <v>46142</v>
      </c>
      <c r="L69" s="66">
        <f>IFERROR(VLOOKUP(Tabela2[[#This Row],[Campanha]],Campanhas!A:C,3,FALSE),"")</f>
        <v>46543</v>
      </c>
      <c r="M69" s="66">
        <f>IFERROR(VLOOKUP(Tabela2[[#This Row],[Campanha]],Campanhas!A:C,2,FALSE),"")</f>
        <v>46327</v>
      </c>
      <c r="N69" s="66"/>
    </row>
    <row r="70" spans="1:14" s="61" customFormat="1">
      <c r="A70" s="61" t="s">
        <v>11</v>
      </c>
      <c r="B70" s="61" t="s">
        <v>46</v>
      </c>
      <c r="C70" s="61" t="s">
        <v>39</v>
      </c>
      <c r="D70" s="61" t="s">
        <v>40</v>
      </c>
      <c r="E70" s="61" t="s">
        <v>44</v>
      </c>
      <c r="F70" s="62" t="s">
        <v>45</v>
      </c>
      <c r="G70" s="63">
        <v>1.8499999999999999E-2</v>
      </c>
      <c r="H70" s="63"/>
      <c r="I70" s="63"/>
      <c r="J70" s="64">
        <v>46128</v>
      </c>
      <c r="K70" s="65">
        <v>46142</v>
      </c>
      <c r="L70" s="66">
        <f>IFERROR(VLOOKUP(Tabela2[[#This Row],[Campanha]],Campanhas!A:C,3,FALSE),"")</f>
        <v>46543</v>
      </c>
      <c r="M70" s="66">
        <f>IFERROR(VLOOKUP(Tabela2[[#This Row],[Campanha]],Campanhas!A:C,2,FALSE),"")</f>
        <v>46327</v>
      </c>
      <c r="N70" s="66"/>
    </row>
    <row r="71" spans="1:14" s="61" customFormat="1">
      <c r="A71" s="61" t="s">
        <v>13</v>
      </c>
      <c r="B71" s="61" t="s">
        <v>43</v>
      </c>
      <c r="C71" s="61" t="s">
        <v>39</v>
      </c>
      <c r="D71" s="61" t="s">
        <v>40</v>
      </c>
      <c r="E71" s="61" t="s">
        <v>44</v>
      </c>
      <c r="F71" s="62" t="s">
        <v>45</v>
      </c>
      <c r="G71" s="63">
        <v>1.8499999999999999E-2</v>
      </c>
      <c r="H71" s="63"/>
      <c r="I71" s="63">
        <v>0.01</v>
      </c>
      <c r="J71" s="64">
        <v>46128</v>
      </c>
      <c r="K71" s="65">
        <v>46142</v>
      </c>
      <c r="L71" s="66">
        <f>IFERROR(VLOOKUP(Tabela2[[#This Row],[Campanha]],Campanhas!A:C,3,FALSE),"")</f>
        <v>46543</v>
      </c>
      <c r="M71" s="66">
        <f>IFERROR(VLOOKUP(Tabela2[[#This Row],[Campanha]],Campanhas!A:C,2,FALSE),"")</f>
        <v>46327</v>
      </c>
      <c r="N71" s="66"/>
    </row>
    <row r="72" spans="1:14" s="61" customFormat="1">
      <c r="A72" s="61" t="s">
        <v>13</v>
      </c>
      <c r="B72" s="61" t="s">
        <v>46</v>
      </c>
      <c r="C72" s="61" t="s">
        <v>39</v>
      </c>
      <c r="D72" s="61" t="s">
        <v>40</v>
      </c>
      <c r="E72" s="61" t="s">
        <v>44</v>
      </c>
      <c r="F72" s="62" t="s">
        <v>45</v>
      </c>
      <c r="G72" s="63">
        <v>1.8499999999999999E-2</v>
      </c>
      <c r="H72" s="63"/>
      <c r="I72" s="63"/>
      <c r="J72" s="64">
        <v>46128</v>
      </c>
      <c r="K72" s="65">
        <v>46142</v>
      </c>
      <c r="L72" s="66">
        <f>IFERROR(VLOOKUP(Tabela2[[#This Row],[Campanha]],Campanhas!A:C,3,FALSE),"")</f>
        <v>46543</v>
      </c>
      <c r="M72" s="66">
        <f>IFERROR(VLOOKUP(Tabela2[[#This Row],[Campanha]],Campanhas!A:C,2,FALSE),"")</f>
        <v>46327</v>
      </c>
      <c r="N72" s="66"/>
    </row>
    <row r="73" spans="1:14" s="61" customFormat="1">
      <c r="A73" s="61" t="s">
        <v>14</v>
      </c>
      <c r="B73" s="61" t="s">
        <v>43</v>
      </c>
      <c r="C73" s="61" t="s">
        <v>39</v>
      </c>
      <c r="D73" s="61" t="s">
        <v>40</v>
      </c>
      <c r="E73" s="61" t="s">
        <v>44</v>
      </c>
      <c r="F73" s="62" t="s">
        <v>45</v>
      </c>
      <c r="G73" s="63">
        <v>1.8499999999999999E-2</v>
      </c>
      <c r="H73" s="63"/>
      <c r="I73" s="63">
        <v>0.01</v>
      </c>
      <c r="J73" s="64">
        <v>46128</v>
      </c>
      <c r="K73" s="65">
        <v>46142</v>
      </c>
      <c r="L73" s="66">
        <f>IFERROR(VLOOKUP(Tabela2[[#This Row],[Campanha]],Campanhas!A:C,3,FALSE),"")</f>
        <v>46543</v>
      </c>
      <c r="M73" s="66">
        <f>IFERROR(VLOOKUP(Tabela2[[#This Row],[Campanha]],Campanhas!A:C,2,FALSE),"")</f>
        <v>46327</v>
      </c>
      <c r="N73" s="66"/>
    </row>
    <row r="74" spans="1:14" s="61" customFormat="1">
      <c r="A74" s="61" t="s">
        <v>14</v>
      </c>
      <c r="B74" s="61" t="s">
        <v>46</v>
      </c>
      <c r="C74" s="61" t="s">
        <v>39</v>
      </c>
      <c r="D74" s="61" t="s">
        <v>40</v>
      </c>
      <c r="E74" s="61" t="s">
        <v>44</v>
      </c>
      <c r="F74" s="62" t="s">
        <v>45</v>
      </c>
      <c r="G74" s="63">
        <v>1.8499999999999999E-2</v>
      </c>
      <c r="H74" s="63"/>
      <c r="I74" s="63"/>
      <c r="J74" s="64">
        <v>46128</v>
      </c>
      <c r="K74" s="65">
        <v>46142</v>
      </c>
      <c r="L74" s="66">
        <f>IFERROR(VLOOKUP(Tabela2[[#This Row],[Campanha]],Campanhas!A:C,3,FALSE),"")</f>
        <v>46543</v>
      </c>
      <c r="M74" s="66">
        <f>IFERROR(VLOOKUP(Tabela2[[#This Row],[Campanha]],Campanhas!A:C,2,FALSE),"")</f>
        <v>46327</v>
      </c>
      <c r="N74" s="66"/>
    </row>
    <row r="75" spans="1:14" s="61" customFormat="1">
      <c r="A75" s="61" t="s">
        <v>17</v>
      </c>
      <c r="B75" s="61" t="s">
        <v>46</v>
      </c>
      <c r="C75" s="61" t="s">
        <v>47</v>
      </c>
      <c r="D75" s="61" t="s">
        <v>40</v>
      </c>
      <c r="E75" s="61" t="s">
        <v>44</v>
      </c>
      <c r="F75" s="62" t="s">
        <v>45</v>
      </c>
      <c r="G75" s="63">
        <v>1.8499999999999999E-2</v>
      </c>
      <c r="H75" s="63"/>
      <c r="I75" s="63"/>
      <c r="J75" s="64">
        <v>46128</v>
      </c>
      <c r="K75" s="65">
        <v>46142</v>
      </c>
      <c r="L75" s="66">
        <f>IFERROR(VLOOKUP(Tabela2[[#This Row],[Campanha]],Campanhas!A:C,3,FALSE),"")</f>
        <v>46543</v>
      </c>
      <c r="M75" s="66">
        <f>IFERROR(VLOOKUP(Tabela2[[#This Row],[Campanha]],Campanhas!A:C,2,FALSE),"")</f>
        <v>46327</v>
      </c>
      <c r="N75" s="66"/>
    </row>
    <row r="76" spans="1:14" s="61" customFormat="1">
      <c r="A76" s="61" t="s">
        <v>17</v>
      </c>
      <c r="B76" s="61" t="s">
        <v>38</v>
      </c>
      <c r="C76" s="61" t="s">
        <v>47</v>
      </c>
      <c r="D76" s="61" t="s">
        <v>40</v>
      </c>
      <c r="E76" s="61" t="s">
        <v>41</v>
      </c>
      <c r="F76" s="62" t="s">
        <v>42</v>
      </c>
      <c r="G76" s="63">
        <v>1.61E-2</v>
      </c>
      <c r="H76" s="63">
        <v>0.04</v>
      </c>
      <c r="I76" s="63"/>
      <c r="J76" s="64">
        <v>46128</v>
      </c>
      <c r="K76" s="65">
        <v>46142</v>
      </c>
      <c r="L76" s="66">
        <f>IFERROR(VLOOKUP(Tabela2[[#This Row],[Campanha]],Campanhas!A:C,3,FALSE),"")</f>
        <v>46543</v>
      </c>
      <c r="M76" s="66">
        <f>IFERROR(VLOOKUP(Tabela2[[#This Row],[Campanha]],Campanhas!A:C,2,FALSE),"")</f>
        <v>46327</v>
      </c>
      <c r="N76" s="66"/>
    </row>
    <row r="77" spans="1:14">
      <c r="L77" s="3" t="str">
        <f>IFERROR(VLOOKUP(Tabela2[[#This Row],[Campanha]],Campanhas!A:C,3,FALSE),"")</f>
        <v/>
      </c>
      <c r="M77" s="3" t="str">
        <f>IFERROR(VLOOKUP(Tabela2[[#This Row],[Campanha]],Campanhas!A:C,2,FALSE),"")</f>
        <v/>
      </c>
      <c r="N77" s="3"/>
    </row>
    <row r="78" spans="1:14">
      <c r="L78" s="3" t="str">
        <f>IFERROR(VLOOKUP(Tabela2[[#This Row],[Campanha]],Campanhas!A:C,3,FALSE),"")</f>
        <v/>
      </c>
      <c r="M78" s="3" t="str">
        <f>IFERROR(VLOOKUP(Tabela2[[#This Row],[Campanha]],Campanhas!A:C,2,FALSE),"")</f>
        <v/>
      </c>
      <c r="N78" s="3"/>
    </row>
    <row r="79" spans="1:14">
      <c r="L79" s="3" t="str">
        <f>IFERROR(VLOOKUP(Tabela2[[#This Row],[Campanha]],Campanhas!A:C,3,FALSE),"")</f>
        <v/>
      </c>
      <c r="M79" s="3" t="str">
        <f>IFERROR(VLOOKUP(Tabela2[[#This Row],[Campanha]],Campanhas!A:C,2,FALSE),"")</f>
        <v/>
      </c>
      <c r="N79" s="3"/>
    </row>
    <row r="80" spans="1:14">
      <c r="L80" s="3" t="str">
        <f>IFERROR(VLOOKUP(Tabela2[[#This Row],[Campanha]],Campanhas!A:C,3,FALSE),"")</f>
        <v/>
      </c>
      <c r="M80" s="3" t="str">
        <f>IFERROR(VLOOKUP(Tabela2[[#This Row],[Campanha]],Campanhas!A:C,2,FALSE),"")</f>
        <v/>
      </c>
      <c r="N80" s="3"/>
    </row>
    <row r="81" spans="12:14">
      <c r="L81" s="3" t="str">
        <f>IFERROR(VLOOKUP(Tabela2[[#This Row],[Campanha]],Campanhas!A:C,3,FALSE),"")</f>
        <v/>
      </c>
      <c r="M81" s="3" t="str">
        <f>IFERROR(VLOOKUP(Tabela2[[#This Row],[Campanha]],Campanhas!A:C,2,FALSE),"")</f>
        <v/>
      </c>
      <c r="N81" s="3"/>
    </row>
    <row r="82" spans="12:14">
      <c r="L82" s="3" t="str">
        <f>IFERROR(VLOOKUP(Tabela2[[#This Row],[Campanha]],Campanhas!A:C,3,FALSE),"")</f>
        <v/>
      </c>
      <c r="M82" s="3" t="str">
        <f>IFERROR(VLOOKUP(Tabela2[[#This Row],[Campanha]],Campanhas!A:C,2,FALSE),"")</f>
        <v/>
      </c>
      <c r="N82" s="3"/>
    </row>
    <row r="83" spans="12:14">
      <c r="L83" s="3" t="str">
        <f>IFERROR(VLOOKUP(Tabela2[[#This Row],[Campanha]],Campanhas!A:C,3,FALSE),"")</f>
        <v/>
      </c>
      <c r="M83" s="3" t="str">
        <f>IFERROR(VLOOKUP(Tabela2[[#This Row],[Campanha]],Campanhas!A:C,2,FALSE),"")</f>
        <v/>
      </c>
      <c r="N83" s="3"/>
    </row>
    <row r="84" spans="12:14">
      <c r="L84" s="3" t="str">
        <f>IFERROR(VLOOKUP(Tabela2[[#This Row],[Campanha]],Campanhas!A:C,3,FALSE),"")</f>
        <v/>
      </c>
      <c r="M84" s="3" t="str">
        <f>IFERROR(VLOOKUP(Tabela2[[#This Row],[Campanha]],Campanhas!A:C,2,FALSE),"")</f>
        <v/>
      </c>
      <c r="N84" s="3"/>
    </row>
    <row r="85" spans="12:14">
      <c r="L85" s="3" t="str">
        <f>IFERROR(VLOOKUP(Tabela2[[#This Row],[Campanha]],Campanhas!A:C,3,FALSE),"")</f>
        <v/>
      </c>
      <c r="M85" s="3" t="str">
        <f>IFERROR(VLOOKUP(Tabela2[[#This Row],[Campanha]],Campanhas!A:C,2,FALSE),"")</f>
        <v/>
      </c>
      <c r="N85" s="3"/>
    </row>
    <row r="86" spans="12:14">
      <c r="L86" s="3" t="str">
        <f>IFERROR(VLOOKUP(Tabela2[[#This Row],[Campanha]],Campanhas!A:C,3,FALSE),"")</f>
        <v/>
      </c>
      <c r="M86" s="3" t="str">
        <f>IFERROR(VLOOKUP(Tabela2[[#This Row],[Campanha]],Campanhas!A:C,2,FALSE),"")</f>
        <v/>
      </c>
      <c r="N86" s="3"/>
    </row>
    <row r="87" spans="12:14">
      <c r="L87" s="3" t="str">
        <f>IFERROR(VLOOKUP(Tabela2[[#This Row],[Campanha]],Campanhas!A:C,3,FALSE),"")</f>
        <v/>
      </c>
      <c r="M87" s="3" t="str">
        <f>IFERROR(VLOOKUP(Tabela2[[#This Row],[Campanha]],Campanhas!A:C,2,FALSE),"")</f>
        <v/>
      </c>
      <c r="N87" s="3"/>
    </row>
    <row r="88" spans="12:14">
      <c r="L88" s="3" t="str">
        <f>IFERROR(VLOOKUP(Tabela2[[#This Row],[Campanha]],Campanhas!A:C,3,FALSE),"")</f>
        <v/>
      </c>
      <c r="M88" s="3" t="str">
        <f>IFERROR(VLOOKUP(Tabela2[[#This Row],[Campanha]],Campanhas!A:C,2,FALSE),"")</f>
        <v/>
      </c>
      <c r="N88" s="3"/>
    </row>
    <row r="89" spans="12:14">
      <c r="L89" s="3" t="str">
        <f>IFERROR(VLOOKUP(Tabela2[[#This Row],[Campanha]],Campanhas!A:C,3,FALSE),"")</f>
        <v/>
      </c>
      <c r="M89" s="3" t="str">
        <f>IFERROR(VLOOKUP(Tabela2[[#This Row],[Campanha]],Campanhas!A:C,2,FALSE),"")</f>
        <v/>
      </c>
      <c r="N89" s="3"/>
    </row>
    <row r="90" spans="12:14">
      <c r="L90" s="3" t="str">
        <f>IFERROR(VLOOKUP(Tabela2[[#This Row],[Campanha]],Campanhas!A:C,3,FALSE),"")</f>
        <v/>
      </c>
      <c r="M90" s="3" t="str">
        <f>IFERROR(VLOOKUP(Tabela2[[#This Row],[Campanha]],Campanhas!A:C,2,FALSE),"")</f>
        <v/>
      </c>
      <c r="N90" s="3"/>
    </row>
    <row r="91" spans="12:14">
      <c r="L91" s="3" t="str">
        <f>IFERROR(VLOOKUP(Tabela2[[#This Row],[Campanha]],Campanhas!A:C,3,FALSE),"")</f>
        <v/>
      </c>
      <c r="M91" s="3" t="str">
        <f>IFERROR(VLOOKUP(Tabela2[[#This Row],[Campanha]],Campanhas!A:C,2,FALSE),"")</f>
        <v/>
      </c>
      <c r="N91" s="3"/>
    </row>
    <row r="92" spans="12:14">
      <c r="L92" s="3" t="str">
        <f>IFERROR(VLOOKUP(Tabela2[[#This Row],[Campanha]],Campanhas!A:C,3,FALSE),"")</f>
        <v/>
      </c>
      <c r="M92" s="3" t="str">
        <f>IFERROR(VLOOKUP(Tabela2[[#This Row],[Campanha]],Campanhas!A:C,2,FALSE),"")</f>
        <v/>
      </c>
      <c r="N92" s="3"/>
    </row>
    <row r="93" spans="12:14">
      <c r="L93" s="3" t="str">
        <f>IFERROR(VLOOKUP(Tabela2[[#This Row],[Campanha]],Campanhas!A:C,3,FALSE),"")</f>
        <v/>
      </c>
      <c r="M93" s="3" t="str">
        <f>IFERROR(VLOOKUP(Tabela2[[#This Row],[Campanha]],Campanhas!A:C,2,FALSE),"")</f>
        <v/>
      </c>
      <c r="N93" s="3"/>
    </row>
    <row r="94" spans="12:14">
      <c r="L94" s="3" t="str">
        <f>IFERROR(VLOOKUP(Tabela2[[#This Row],[Campanha]],Campanhas!A:C,3,FALSE),"")</f>
        <v/>
      </c>
      <c r="M94" s="3" t="str">
        <f>IFERROR(VLOOKUP(Tabela2[[#This Row],[Campanha]],Campanhas!A:C,2,FALSE),"")</f>
        <v/>
      </c>
      <c r="N94" s="3"/>
    </row>
    <row r="95" spans="12:14">
      <c r="L95" s="3" t="str">
        <f>IFERROR(VLOOKUP(Tabela2[[#This Row],[Campanha]],Campanhas!A:C,3,FALSE),"")</f>
        <v/>
      </c>
      <c r="M95" s="3" t="str">
        <f>IFERROR(VLOOKUP(Tabela2[[#This Row],[Campanha]],Campanhas!A:C,2,FALSE),"")</f>
        <v/>
      </c>
      <c r="N95" s="3"/>
    </row>
    <row r="96" spans="12:14">
      <c r="L96" s="3" t="str">
        <f>IFERROR(VLOOKUP(Tabela2[[#This Row],[Campanha]],Campanhas!A:C,3,FALSE),"")</f>
        <v/>
      </c>
      <c r="M96" s="3" t="str">
        <f>IFERROR(VLOOKUP(Tabela2[[#This Row],[Campanha]],Campanhas!A:C,2,FALSE),"")</f>
        <v/>
      </c>
      <c r="N96" s="3"/>
    </row>
    <row r="97" spans="12:14">
      <c r="L97" s="3" t="str">
        <f>IFERROR(VLOOKUP(Tabela2[[#This Row],[Campanha]],Campanhas!A:C,3,FALSE),"")</f>
        <v/>
      </c>
      <c r="M97" s="3" t="str">
        <f>IFERROR(VLOOKUP(Tabela2[[#This Row],[Campanha]],Campanhas!A:C,2,FALSE),"")</f>
        <v/>
      </c>
      <c r="N97" s="3"/>
    </row>
    <row r="98" spans="12:14">
      <c r="L98" s="3" t="str">
        <f>IFERROR(VLOOKUP(Tabela2[[#This Row],[Campanha]],Campanhas!A:C,3,FALSE),"")</f>
        <v/>
      </c>
      <c r="M98" s="3" t="str">
        <f>IFERROR(VLOOKUP(Tabela2[[#This Row],[Campanha]],Campanhas!A:C,2,FALSE),"")</f>
        <v/>
      </c>
      <c r="N98" s="3"/>
    </row>
    <row r="99" spans="12:14">
      <c r="L99" s="3" t="str">
        <f>IFERROR(VLOOKUP(Tabela2[[#This Row],[Campanha]],Campanhas!A:C,3,FALSE),"")</f>
        <v/>
      </c>
      <c r="M99" s="3" t="str">
        <f>IFERROR(VLOOKUP(Tabela2[[#This Row],[Campanha]],Campanhas!A:C,2,FALSE),"")</f>
        <v/>
      </c>
      <c r="N99" s="3"/>
    </row>
    <row r="100" spans="12:14">
      <c r="L100" s="3" t="str">
        <f>IFERROR(VLOOKUP(Tabela2[[#This Row],[Campanha]],Campanhas!A:C,3,FALSE),"")</f>
        <v/>
      </c>
      <c r="M100" s="3" t="str">
        <f>IFERROR(VLOOKUP(Tabela2[[#This Row],[Campanha]],Campanhas!A:C,2,FALSE),"")</f>
        <v/>
      </c>
      <c r="N100" s="3"/>
    </row>
    <row r="101" spans="12:14">
      <c r="L101" s="3" t="str">
        <f>IFERROR(VLOOKUP(Tabela2[[#This Row],[Campanha]],Campanhas!A:C,3,FALSE),"")</f>
        <v/>
      </c>
      <c r="M101" s="3" t="str">
        <f>IFERROR(VLOOKUP(Tabela2[[#This Row],[Campanha]],Campanhas!A:C,2,FALSE),"")</f>
        <v/>
      </c>
      <c r="N101" s="3"/>
    </row>
    <row r="102" spans="12:14">
      <c r="L102" s="3" t="str">
        <f>IFERROR(VLOOKUP(Tabela2[[#This Row],[Campanha]],Campanhas!A:C,3,FALSE),"")</f>
        <v/>
      </c>
      <c r="M102" s="3" t="str">
        <f>IFERROR(VLOOKUP(Tabela2[[#This Row],[Campanha]],Campanhas!A:C,2,FALSE),"")</f>
        <v/>
      </c>
      <c r="N102" s="3"/>
    </row>
    <row r="103" spans="12:14">
      <c r="L103" s="3" t="str">
        <f>IFERROR(VLOOKUP(Tabela2[[#This Row],[Campanha]],Campanhas!A:C,3,FALSE),"")</f>
        <v/>
      </c>
      <c r="M103" s="3" t="str">
        <f>IFERROR(VLOOKUP(Tabela2[[#This Row],[Campanha]],Campanhas!A:C,2,FALSE),"")</f>
        <v/>
      </c>
      <c r="N103" s="3"/>
    </row>
    <row r="104" spans="12:14">
      <c r="L104" s="3" t="str">
        <f>IFERROR(VLOOKUP(Tabela2[[#This Row],[Campanha]],Campanhas!A:C,3,FALSE),"")</f>
        <v/>
      </c>
      <c r="M104" s="3" t="str">
        <f>IFERROR(VLOOKUP(Tabela2[[#This Row],[Campanha]],Campanhas!A:C,2,FALSE),"")</f>
        <v/>
      </c>
      <c r="N104" s="3"/>
    </row>
    <row r="105" spans="12:14">
      <c r="L105" s="3" t="str">
        <f>IFERROR(VLOOKUP(Tabela2[[#This Row],[Campanha]],Campanhas!A:C,3,FALSE),"")</f>
        <v/>
      </c>
      <c r="M105" s="3" t="str">
        <f>IFERROR(VLOOKUP(Tabela2[[#This Row],[Campanha]],Campanhas!A:C,2,FALSE),"")</f>
        <v/>
      </c>
      <c r="N105" s="3"/>
    </row>
    <row r="106" spans="12:14">
      <c r="L106" s="3" t="str">
        <f>IFERROR(VLOOKUP(Tabela2[[#This Row],[Campanha]],Campanhas!A:C,3,FALSE),"")</f>
        <v/>
      </c>
      <c r="M106" s="3" t="str">
        <f>IFERROR(VLOOKUP(Tabela2[[#This Row],[Campanha]],Campanhas!A:C,2,FALSE),"")</f>
        <v/>
      </c>
      <c r="N106" s="3"/>
    </row>
    <row r="107" spans="12:14">
      <c r="L107" s="3" t="str">
        <f>IFERROR(VLOOKUP(Tabela2[[#This Row],[Campanha]],Campanhas!A:C,3,FALSE),"")</f>
        <v/>
      </c>
      <c r="M107" s="3" t="str">
        <f>IFERROR(VLOOKUP(Tabela2[[#This Row],[Campanha]],Campanhas!A:C,2,FALSE),"")</f>
        <v/>
      </c>
      <c r="N107" s="3"/>
    </row>
    <row r="108" spans="12:14">
      <c r="L108" s="3" t="str">
        <f>IFERROR(VLOOKUP(Tabela2[[#This Row],[Campanha]],Campanhas!A:C,3,FALSE),"")</f>
        <v/>
      </c>
      <c r="M108" s="3" t="str">
        <f>IFERROR(VLOOKUP(Tabela2[[#This Row],[Campanha]],Campanhas!A:C,2,FALSE),"")</f>
        <v/>
      </c>
      <c r="N108" s="3"/>
    </row>
    <row r="109" spans="12:14">
      <c r="L109" s="3" t="str">
        <f>IFERROR(VLOOKUP(Tabela2[[#This Row],[Campanha]],Campanhas!A:C,3,FALSE),"")</f>
        <v/>
      </c>
      <c r="M109" s="3" t="str">
        <f>IFERROR(VLOOKUP(Tabela2[[#This Row],[Campanha]],Campanhas!A:C,2,FALSE),"")</f>
        <v/>
      </c>
      <c r="N109" s="3"/>
    </row>
    <row r="110" spans="12:14">
      <c r="L110" s="3" t="str">
        <f>IFERROR(VLOOKUP(Tabela2[[#This Row],[Campanha]],Campanhas!A:C,3,FALSE),"")</f>
        <v/>
      </c>
      <c r="M110" s="3" t="str">
        <f>IFERROR(VLOOKUP(Tabela2[[#This Row],[Campanha]],Campanhas!A:C,2,FALSE),"")</f>
        <v/>
      </c>
      <c r="N110" s="3"/>
    </row>
    <row r="111" spans="12:14">
      <c r="L111" s="3" t="str">
        <f>IFERROR(VLOOKUP(Tabela2[[#This Row],[Campanha]],Campanhas!A:C,3,FALSE),"")</f>
        <v/>
      </c>
      <c r="M111" s="3" t="str">
        <f>IFERROR(VLOOKUP(Tabela2[[#This Row],[Campanha]],Campanhas!A:C,2,FALSE),"")</f>
        <v/>
      </c>
      <c r="N111" s="3"/>
    </row>
    <row r="112" spans="12:14">
      <c r="L112" s="3" t="str">
        <f>IFERROR(VLOOKUP(Tabela2[[#This Row],[Campanha]],Campanhas!A:C,3,FALSE),"")</f>
        <v/>
      </c>
      <c r="M112" s="3" t="str">
        <f>IFERROR(VLOOKUP(Tabela2[[#This Row],[Campanha]],Campanhas!A:C,2,FALSE),"")</f>
        <v/>
      </c>
      <c r="N112" s="3"/>
    </row>
    <row r="113" spans="12:14">
      <c r="L113" s="3" t="str">
        <f>IFERROR(VLOOKUP(Tabela2[[#This Row],[Campanha]],Campanhas!A:C,3,FALSE),"")</f>
        <v/>
      </c>
      <c r="M113" s="3" t="str">
        <f>IFERROR(VLOOKUP(Tabela2[[#This Row],[Campanha]],Campanhas!A:C,2,FALSE),"")</f>
        <v/>
      </c>
      <c r="N113" s="3"/>
    </row>
    <row r="114" spans="12:14">
      <c r="L114" s="3" t="str">
        <f>IFERROR(VLOOKUP(Tabela2[[#This Row],[Campanha]],Campanhas!A:C,3,FALSE),"")</f>
        <v/>
      </c>
      <c r="M114" s="3" t="str">
        <f>IFERROR(VLOOKUP(Tabela2[[#This Row],[Campanha]],Campanhas!A:C,2,FALSE),"")</f>
        <v/>
      </c>
      <c r="N114" s="3"/>
    </row>
    <row r="115" spans="12:14">
      <c r="L115" s="3" t="str">
        <f>IFERROR(VLOOKUP(Tabela2[[#This Row],[Campanha]],Campanhas!A:C,3,FALSE),"")</f>
        <v/>
      </c>
      <c r="M115" s="3" t="str">
        <f>IFERROR(VLOOKUP(Tabela2[[#This Row],[Campanha]],Campanhas!A:C,2,FALSE),"")</f>
        <v/>
      </c>
      <c r="N115" s="3"/>
    </row>
    <row r="116" spans="12:14">
      <c r="L116" s="3" t="str">
        <f>IFERROR(VLOOKUP(Tabela2[[#This Row],[Campanha]],Campanhas!A:C,3,FALSE),"")</f>
        <v/>
      </c>
      <c r="M116" s="3" t="str">
        <f>IFERROR(VLOOKUP(Tabela2[[#This Row],[Campanha]],Campanhas!A:C,2,FALSE),"")</f>
        <v/>
      </c>
      <c r="N116" s="3"/>
    </row>
    <row r="117" spans="12:14">
      <c r="L117" s="3" t="str">
        <f>IFERROR(VLOOKUP(Tabela2[[#This Row],[Campanha]],Campanhas!A:C,3,FALSE),"")</f>
        <v/>
      </c>
      <c r="M117" s="3" t="str">
        <f>IFERROR(VLOOKUP(Tabela2[[#This Row],[Campanha]],Campanhas!A:C,2,FALSE),"")</f>
        <v/>
      </c>
      <c r="N117" s="3"/>
    </row>
    <row r="118" spans="12:14">
      <c r="L118" s="3" t="str">
        <f>IFERROR(VLOOKUP(Tabela2[[#This Row],[Campanha]],Campanhas!A:C,3,FALSE),"")</f>
        <v/>
      </c>
      <c r="M118" s="3" t="str">
        <f>IFERROR(VLOOKUP(Tabela2[[#This Row],[Campanha]],Campanhas!A:C,2,FALSE),"")</f>
        <v/>
      </c>
      <c r="N118" s="3"/>
    </row>
    <row r="119" spans="12:14">
      <c r="L119" s="3" t="str">
        <f>IFERROR(VLOOKUP(Tabela2[[#This Row],[Campanha]],Campanhas!A:C,3,FALSE),"")</f>
        <v/>
      </c>
      <c r="M119" s="3" t="str">
        <f>IFERROR(VLOOKUP(Tabela2[[#This Row],[Campanha]],Campanhas!A:C,2,FALSE),"")</f>
        <v/>
      </c>
      <c r="N119" s="3"/>
    </row>
    <row r="120" spans="12:14">
      <c r="L120" s="3" t="str">
        <f>IFERROR(VLOOKUP(Tabela2[[#This Row],[Campanha]],Campanhas!A:C,3,FALSE),"")</f>
        <v/>
      </c>
      <c r="M120" s="3" t="str">
        <f>IFERROR(VLOOKUP(Tabela2[[#This Row],[Campanha]],Campanhas!A:C,2,FALSE),"")</f>
        <v/>
      </c>
      <c r="N120" s="3"/>
    </row>
    <row r="121" spans="12:14">
      <c r="L121" s="3" t="str">
        <f>IFERROR(VLOOKUP(Tabela2[[#This Row],[Campanha]],Campanhas!A:C,3,FALSE),"")</f>
        <v/>
      </c>
      <c r="M121" s="3" t="str">
        <f>IFERROR(VLOOKUP(Tabela2[[#This Row],[Campanha]],Campanhas!A:C,2,FALSE),"")</f>
        <v/>
      </c>
      <c r="N121" s="3"/>
    </row>
    <row r="122" spans="12:14">
      <c r="L122" s="3" t="str">
        <f>IFERROR(VLOOKUP(Tabela2[[#This Row],[Campanha]],Campanhas!A:C,3,FALSE),"")</f>
        <v/>
      </c>
      <c r="M122" s="3" t="str">
        <f>IFERROR(VLOOKUP(Tabela2[[#This Row],[Campanha]],Campanhas!A:C,2,FALSE),"")</f>
        <v/>
      </c>
      <c r="N122" s="3"/>
    </row>
    <row r="123" spans="12:14">
      <c r="L123" s="3" t="str">
        <f>IFERROR(VLOOKUP(Tabela2[[#This Row],[Campanha]],Campanhas!A:C,3,FALSE),"")</f>
        <v/>
      </c>
      <c r="M123" s="3" t="str">
        <f>IFERROR(VLOOKUP(Tabela2[[#This Row],[Campanha]],Campanhas!A:C,2,FALSE),"")</f>
        <v/>
      </c>
      <c r="N123" s="3"/>
    </row>
    <row r="124" spans="12:14">
      <c r="L124" s="3" t="str">
        <f>IFERROR(VLOOKUP(Tabela2[[#This Row],[Campanha]],Campanhas!A:C,3,FALSE),"")</f>
        <v/>
      </c>
      <c r="M124" s="3" t="str">
        <f>IFERROR(VLOOKUP(Tabela2[[#This Row],[Campanha]],Campanhas!A:C,2,FALSE),"")</f>
        <v/>
      </c>
      <c r="N124" s="3"/>
    </row>
    <row r="125" spans="12:14">
      <c r="L125" s="3" t="str">
        <f>IFERROR(VLOOKUP(Tabela2[[#This Row],[Campanha]],Campanhas!A:C,3,FALSE),"")</f>
        <v/>
      </c>
      <c r="M125" s="3" t="str">
        <f>IFERROR(VLOOKUP(Tabela2[[#This Row],[Campanha]],Campanhas!A:C,2,FALSE),"")</f>
        <v/>
      </c>
      <c r="N125" s="3"/>
    </row>
    <row r="126" spans="12:14">
      <c r="L126" s="3" t="str">
        <f>IFERROR(VLOOKUP(Tabela2[[#This Row],[Campanha]],Campanhas!A:C,3,FALSE),"")</f>
        <v/>
      </c>
      <c r="M126" s="3" t="str">
        <f>IFERROR(VLOOKUP(Tabela2[[#This Row],[Campanha]],Campanhas!A:C,2,FALSE),"")</f>
        <v/>
      </c>
      <c r="N126" s="3"/>
    </row>
    <row r="127" spans="12:14">
      <c r="L127" s="3" t="str">
        <f>IFERROR(VLOOKUP(Tabela2[[#This Row],[Campanha]],Campanhas!A:C,3,FALSE),"")</f>
        <v/>
      </c>
      <c r="M127" s="3" t="str">
        <f>IFERROR(VLOOKUP(Tabela2[[#This Row],[Campanha]],Campanhas!A:C,2,FALSE),"")</f>
        <v/>
      </c>
      <c r="N127" s="3"/>
    </row>
    <row r="128" spans="12:14">
      <c r="L128" s="3" t="str">
        <f>IFERROR(VLOOKUP(Tabela2[[#This Row],[Campanha]],Campanhas!A:C,3,FALSE),"")</f>
        <v/>
      </c>
      <c r="M128" s="3" t="str">
        <f>IFERROR(VLOOKUP(Tabela2[[#This Row],[Campanha]],Campanhas!A:C,2,FALSE),"")</f>
        <v/>
      </c>
      <c r="N128" s="3"/>
    </row>
    <row r="129" spans="12:14">
      <c r="L129" s="3" t="str">
        <f>IFERROR(VLOOKUP(Tabela2[[#This Row],[Campanha]],Campanhas!A:C,3,FALSE),"")</f>
        <v/>
      </c>
      <c r="M129" s="3" t="str">
        <f>IFERROR(VLOOKUP(Tabela2[[#This Row],[Campanha]],Campanhas!A:C,2,FALSE),"")</f>
        <v/>
      </c>
      <c r="N129" s="3"/>
    </row>
    <row r="130" spans="12:14">
      <c r="L130" s="3" t="str">
        <f>IFERROR(VLOOKUP(Tabela2[[#This Row],[Campanha]],Campanhas!A:C,3,FALSE),"")</f>
        <v/>
      </c>
      <c r="M130" s="3" t="str">
        <f>IFERROR(VLOOKUP(Tabela2[[#This Row],[Campanha]],Campanhas!A:C,2,FALSE),"")</f>
        <v/>
      </c>
      <c r="N130" s="3"/>
    </row>
    <row r="131" spans="12:14">
      <c r="L131" s="3" t="str">
        <f>IFERROR(VLOOKUP(Tabela2[[#This Row],[Campanha]],Campanhas!A:C,3,FALSE),"")</f>
        <v/>
      </c>
      <c r="M131" s="3" t="str">
        <f>IFERROR(VLOOKUP(Tabela2[[#This Row],[Campanha]],Campanhas!A:C,2,FALSE),"")</f>
        <v/>
      </c>
      <c r="N131" s="3"/>
    </row>
    <row r="132" spans="12:14">
      <c r="L132" s="3" t="str">
        <f>IFERROR(VLOOKUP(Tabela2[[#This Row],[Campanha]],Campanhas!A:C,3,FALSE),"")</f>
        <v/>
      </c>
      <c r="M132" s="3" t="str">
        <f>IFERROR(VLOOKUP(Tabela2[[#This Row],[Campanha]],Campanhas!A:C,2,FALSE),"")</f>
        <v/>
      </c>
      <c r="N132" s="3"/>
    </row>
    <row r="133" spans="12:14">
      <c r="L133" s="3" t="str">
        <f>IFERROR(VLOOKUP(Tabela2[[#This Row],[Campanha]],Campanhas!A:C,3,FALSE),"")</f>
        <v/>
      </c>
      <c r="M133" s="3" t="str">
        <f>IFERROR(VLOOKUP(Tabela2[[#This Row],[Campanha]],Campanhas!A:C,2,FALSE),"")</f>
        <v/>
      </c>
      <c r="N133" s="3"/>
    </row>
    <row r="134" spans="12:14">
      <c r="L134" s="3" t="str">
        <f>IFERROR(VLOOKUP(Tabela2[[#This Row],[Campanha]],Campanhas!A:C,3,FALSE),"")</f>
        <v/>
      </c>
      <c r="M134" s="3" t="str">
        <f>IFERROR(VLOOKUP(Tabela2[[#This Row],[Campanha]],Campanhas!A:C,2,FALSE),"")</f>
        <v/>
      </c>
      <c r="N134" s="3"/>
    </row>
    <row r="135" spans="12:14">
      <c r="L135" s="3" t="str">
        <f>IFERROR(VLOOKUP(Tabela2[[#This Row],[Campanha]],Campanhas!A:C,3,FALSE),"")</f>
        <v/>
      </c>
      <c r="M135" s="3" t="str">
        <f>IFERROR(VLOOKUP(Tabela2[[#This Row],[Campanha]],Campanhas!A:C,2,FALSE),"")</f>
        <v/>
      </c>
      <c r="N135" s="3"/>
    </row>
    <row r="136" spans="12:14">
      <c r="L136" s="3" t="str">
        <f>IFERROR(VLOOKUP(Tabela2[[#This Row],[Campanha]],Campanhas!A:C,3,FALSE),"")</f>
        <v/>
      </c>
      <c r="M136" s="3" t="str">
        <f>IFERROR(VLOOKUP(Tabela2[[#This Row],[Campanha]],Campanhas!A:C,2,FALSE),"")</f>
        <v/>
      </c>
      <c r="N136" s="3"/>
    </row>
    <row r="137" spans="12:14">
      <c r="L137" s="3" t="str">
        <f>IFERROR(VLOOKUP(Tabela2[[#This Row],[Campanha]],Campanhas!A:C,3,FALSE),"")</f>
        <v/>
      </c>
      <c r="M137" s="3" t="str">
        <f>IFERROR(VLOOKUP(Tabela2[[#This Row],[Campanha]],Campanhas!A:C,2,FALSE),"")</f>
        <v/>
      </c>
      <c r="N137" s="3"/>
    </row>
    <row r="138" spans="12:14">
      <c r="L138" s="3" t="str">
        <f>IFERROR(VLOOKUP(Tabela2[[#This Row],[Campanha]],Campanhas!A:C,3,FALSE),"")</f>
        <v/>
      </c>
      <c r="M138" s="3" t="str">
        <f>IFERROR(VLOOKUP(Tabela2[[#This Row],[Campanha]],Campanhas!A:C,2,FALSE),"")</f>
        <v/>
      </c>
      <c r="N138" s="3"/>
    </row>
    <row r="139" spans="12:14">
      <c r="L139" s="3" t="str">
        <f>IFERROR(VLOOKUP(Tabela2[[#This Row],[Campanha]],Campanhas!A:C,3,FALSE),"")</f>
        <v/>
      </c>
      <c r="M139" s="3" t="str">
        <f>IFERROR(VLOOKUP(Tabela2[[#This Row],[Campanha]],Campanhas!A:C,2,FALSE),"")</f>
        <v/>
      </c>
      <c r="N139" s="3"/>
    </row>
    <row r="140" spans="12:14">
      <c r="L140" s="3" t="str">
        <f>IFERROR(VLOOKUP(Tabela2[[#This Row],[Campanha]],Campanhas!A:C,3,FALSE),"")</f>
        <v/>
      </c>
      <c r="M140" s="3" t="str">
        <f>IFERROR(VLOOKUP(Tabela2[[#This Row],[Campanha]],Campanhas!A:C,2,FALSE),"")</f>
        <v/>
      </c>
      <c r="N140" s="3"/>
    </row>
    <row r="141" spans="12:14">
      <c r="L141" s="3" t="str">
        <f>IFERROR(VLOOKUP(Tabela2[[#This Row],[Campanha]],Campanhas!A:C,3,FALSE),"")</f>
        <v/>
      </c>
      <c r="M141" s="3" t="str">
        <f>IFERROR(VLOOKUP(Tabela2[[#This Row],[Campanha]],Campanhas!A:C,2,FALSE),"")</f>
        <v/>
      </c>
      <c r="N141" s="3"/>
    </row>
    <row r="142" spans="12:14">
      <c r="L142" s="3" t="str">
        <f>IFERROR(VLOOKUP(Tabela2[[#This Row],[Campanha]],Campanhas!A:C,3,FALSE),"")</f>
        <v/>
      </c>
      <c r="M142" s="3" t="str">
        <f>IFERROR(VLOOKUP(Tabela2[[#This Row],[Campanha]],Campanhas!A:C,2,FALSE),"")</f>
        <v/>
      </c>
      <c r="N142" s="3"/>
    </row>
    <row r="143" spans="12:14">
      <c r="L143" s="3" t="str">
        <f>IFERROR(VLOOKUP(Tabela2[[#This Row],[Campanha]],Campanhas!A:C,3,FALSE),"")</f>
        <v/>
      </c>
      <c r="M143" s="3" t="str">
        <f>IFERROR(VLOOKUP(Tabela2[[#This Row],[Campanha]],Campanhas!A:C,2,FALSE),"")</f>
        <v/>
      </c>
      <c r="N143" s="3"/>
    </row>
    <row r="144" spans="12:14">
      <c r="L144" s="3" t="str">
        <f>IFERROR(VLOOKUP(Tabela2[[#This Row],[Campanha]],Campanhas!A:C,3,FALSE),"")</f>
        <v/>
      </c>
      <c r="M144" s="3" t="str">
        <f>IFERROR(VLOOKUP(Tabela2[[#This Row],[Campanha]],Campanhas!A:C,2,FALSE),"")</f>
        <v/>
      </c>
      <c r="N144" s="3"/>
    </row>
    <row r="145" spans="12:14">
      <c r="L145" s="3" t="str">
        <f>IFERROR(VLOOKUP(Tabela2[[#This Row],[Campanha]],Campanhas!A:C,3,FALSE),"")</f>
        <v/>
      </c>
      <c r="M145" s="3" t="str">
        <f>IFERROR(VLOOKUP(Tabela2[[#This Row],[Campanha]],Campanhas!A:C,2,FALSE),"")</f>
        <v/>
      </c>
      <c r="N145" s="3"/>
    </row>
    <row r="146" spans="12:14">
      <c r="L146" s="3" t="str">
        <f>IFERROR(VLOOKUP(Tabela2[[#This Row],[Campanha]],Campanhas!A:C,3,FALSE),"")</f>
        <v/>
      </c>
      <c r="M146" s="3" t="str">
        <f>IFERROR(VLOOKUP(Tabela2[[#This Row],[Campanha]],Campanhas!A:C,2,FALSE),"")</f>
        <v/>
      </c>
      <c r="N146" s="3"/>
    </row>
    <row r="147" spans="12:14">
      <c r="L147" s="3" t="str">
        <f>IFERROR(VLOOKUP(Tabela2[[#This Row],[Campanha]],Campanhas!A:C,3,FALSE),"")</f>
        <v/>
      </c>
      <c r="M147" s="3" t="str">
        <f>IFERROR(VLOOKUP(Tabela2[[#This Row],[Campanha]],Campanhas!A:C,2,FALSE),"")</f>
        <v/>
      </c>
      <c r="N147" s="3"/>
    </row>
    <row r="148" spans="12:14">
      <c r="L148" s="3" t="str">
        <f>IFERROR(VLOOKUP(Tabela2[[#This Row],[Campanha]],Campanhas!A:C,3,FALSE),"")</f>
        <v/>
      </c>
      <c r="M148" s="3" t="str">
        <f>IFERROR(VLOOKUP(Tabela2[[#This Row],[Campanha]],Campanhas!A:C,2,FALSE),"")</f>
        <v/>
      </c>
      <c r="N148" s="3"/>
    </row>
    <row r="149" spans="12:14">
      <c r="L149" s="3" t="str">
        <f>IFERROR(VLOOKUP(Tabela2[[#This Row],[Campanha]],Campanhas!A:C,3,FALSE),"")</f>
        <v/>
      </c>
      <c r="M149" s="3" t="str">
        <f>IFERROR(VLOOKUP(Tabela2[[#This Row],[Campanha]],Campanhas!A:C,2,FALSE),"")</f>
        <v/>
      </c>
      <c r="N149" s="3"/>
    </row>
    <row r="150" spans="12:14">
      <c r="L150" s="3" t="str">
        <f>IFERROR(VLOOKUP(Tabela2[[#This Row],[Campanha]],Campanhas!A:C,3,FALSE),"")</f>
        <v/>
      </c>
      <c r="M150" s="3" t="str">
        <f>IFERROR(VLOOKUP(Tabela2[[#This Row],[Campanha]],Campanhas!A:C,2,FALSE),"")</f>
        <v/>
      </c>
      <c r="N150" s="3"/>
    </row>
    <row r="151" spans="12:14">
      <c r="L151" s="3" t="str">
        <f>IFERROR(VLOOKUP(Tabela2[[#This Row],[Campanha]],Campanhas!A:C,3,FALSE),"")</f>
        <v/>
      </c>
      <c r="M151" s="3" t="str">
        <f>IFERROR(VLOOKUP(Tabela2[[#This Row],[Campanha]],Campanhas!A:C,2,FALSE),"")</f>
        <v/>
      </c>
      <c r="N151" s="3"/>
    </row>
    <row r="152" spans="12:14">
      <c r="L152" s="3" t="str">
        <f>IFERROR(VLOOKUP(Tabela2[[#This Row],[Campanha]],Campanhas!A:C,3,FALSE),"")</f>
        <v/>
      </c>
      <c r="M152" s="3" t="str">
        <f>IFERROR(VLOOKUP(Tabela2[[#This Row],[Campanha]],Campanhas!A:C,2,FALSE),"")</f>
        <v/>
      </c>
      <c r="N152" s="3"/>
    </row>
    <row r="153" spans="12:14">
      <c r="L153" s="3" t="str">
        <f>IFERROR(VLOOKUP(Tabela2[[#This Row],[Campanha]],Campanhas!A:C,3,FALSE),"")</f>
        <v/>
      </c>
      <c r="M153" s="3" t="str">
        <f>IFERROR(VLOOKUP(Tabela2[[#This Row],[Campanha]],Campanhas!A:C,2,FALSE),"")</f>
        <v/>
      </c>
      <c r="N153" s="3"/>
    </row>
    <row r="154" spans="12:14">
      <c r="L154" s="3" t="str">
        <f>IFERROR(VLOOKUP(Tabela2[[#This Row],[Campanha]],Campanhas!A:C,3,FALSE),"")</f>
        <v/>
      </c>
      <c r="M154" s="3" t="str">
        <f>IFERROR(VLOOKUP(Tabela2[[#This Row],[Campanha]],Campanhas!A:C,2,FALSE),"")</f>
        <v/>
      </c>
      <c r="N154" s="3"/>
    </row>
    <row r="155" spans="12:14">
      <c r="L155" s="3" t="str">
        <f>IFERROR(VLOOKUP(Tabela2[[#This Row],[Campanha]],Campanhas!A:C,3,FALSE),"")</f>
        <v/>
      </c>
      <c r="M155" s="3" t="str">
        <f>IFERROR(VLOOKUP(Tabela2[[#This Row],[Campanha]],Campanhas!A:C,2,FALSE),"")</f>
        <v/>
      </c>
      <c r="N155" s="3"/>
    </row>
    <row r="156" spans="12:14">
      <c r="L156" s="3" t="str">
        <f>IFERROR(VLOOKUP(Tabela2[[#This Row],[Campanha]],Campanhas!A:C,3,FALSE),"")</f>
        <v/>
      </c>
      <c r="M156" s="3" t="str">
        <f>IFERROR(VLOOKUP(Tabela2[[#This Row],[Campanha]],Campanhas!A:C,2,FALSE),"")</f>
        <v/>
      </c>
      <c r="N156" s="3"/>
    </row>
    <row r="157" spans="12:14">
      <c r="L157" s="3" t="str">
        <f>IFERROR(VLOOKUP(Tabela2[[#This Row],[Campanha]],Campanhas!A:C,3,FALSE),"")</f>
        <v/>
      </c>
      <c r="M157" s="3" t="str">
        <f>IFERROR(VLOOKUP(Tabela2[[#This Row],[Campanha]],Campanhas!A:C,2,FALSE),"")</f>
        <v/>
      </c>
      <c r="N157" s="3"/>
    </row>
    <row r="158" spans="12:14">
      <c r="L158" s="3" t="str">
        <f>IFERROR(VLOOKUP(Tabela2[[#This Row],[Campanha]],Campanhas!A:C,3,FALSE),"")</f>
        <v/>
      </c>
      <c r="M158" s="3" t="str">
        <f>IFERROR(VLOOKUP(Tabela2[[#This Row],[Campanha]],Campanhas!A:C,2,FALSE),"")</f>
        <v/>
      </c>
      <c r="N158" s="3"/>
    </row>
    <row r="159" spans="12:14">
      <c r="L159" s="3" t="str">
        <f>IFERROR(VLOOKUP(Tabela2[[#This Row],[Campanha]],Campanhas!A:C,3,FALSE),"")</f>
        <v/>
      </c>
      <c r="M159" s="3" t="str">
        <f>IFERROR(VLOOKUP(Tabela2[[#This Row],[Campanha]],Campanhas!A:C,2,FALSE),"")</f>
        <v/>
      </c>
      <c r="N159" s="3"/>
    </row>
    <row r="160" spans="12:14">
      <c r="L160" s="3" t="str">
        <f>IFERROR(VLOOKUP(Tabela2[[#This Row],[Campanha]],Campanhas!A:C,3,FALSE),"")</f>
        <v/>
      </c>
      <c r="M160" s="3" t="str">
        <f>IFERROR(VLOOKUP(Tabela2[[#This Row],[Campanha]],Campanhas!A:C,2,FALSE),"")</f>
        <v/>
      </c>
      <c r="N160" s="3"/>
    </row>
    <row r="161" spans="12:14">
      <c r="L161" s="3" t="str">
        <f>IFERROR(VLOOKUP(Tabela2[[#This Row],[Campanha]],Campanhas!A:C,3,FALSE),"")</f>
        <v/>
      </c>
      <c r="M161" s="3" t="str">
        <f>IFERROR(VLOOKUP(Tabela2[[#This Row],[Campanha]],Campanhas!A:C,2,FALSE),"")</f>
        <v/>
      </c>
      <c r="N161" s="3"/>
    </row>
    <row r="162" spans="12:14">
      <c r="L162" s="3" t="str">
        <f>IFERROR(VLOOKUP(Tabela2[[#This Row],[Campanha]],Campanhas!A:C,3,FALSE),"")</f>
        <v/>
      </c>
      <c r="M162" s="3" t="str">
        <f>IFERROR(VLOOKUP(Tabela2[[#This Row],[Campanha]],Campanhas!A:C,2,FALSE),"")</f>
        <v/>
      </c>
      <c r="N162" s="3"/>
    </row>
    <row r="163" spans="12:14">
      <c r="L163" s="3" t="str">
        <f>IFERROR(VLOOKUP(Tabela2[[#This Row],[Campanha]],Campanhas!A:C,3,FALSE),"")</f>
        <v/>
      </c>
      <c r="M163" s="3" t="str">
        <f>IFERROR(VLOOKUP(Tabela2[[#This Row],[Campanha]],Campanhas!A:C,2,FALSE),"")</f>
        <v/>
      </c>
      <c r="N163" s="3"/>
    </row>
    <row r="164" spans="12:14">
      <c r="L164" s="3" t="str">
        <f>IFERROR(VLOOKUP(Tabela2[[#This Row],[Campanha]],Campanhas!A:C,3,FALSE),"")</f>
        <v/>
      </c>
      <c r="M164" s="3" t="str">
        <f>IFERROR(VLOOKUP(Tabela2[[#This Row],[Campanha]],Campanhas!A:C,2,FALSE),"")</f>
        <v/>
      </c>
      <c r="N164" s="3"/>
    </row>
    <row r="165" spans="12:14">
      <c r="L165" s="3" t="str">
        <f>IFERROR(VLOOKUP(Tabela2[[#This Row],[Campanha]],Campanhas!A:C,3,FALSE),"")</f>
        <v/>
      </c>
      <c r="M165" s="3" t="str">
        <f>IFERROR(VLOOKUP(Tabela2[[#This Row],[Campanha]],Campanhas!A:C,2,FALSE),"")</f>
        <v/>
      </c>
      <c r="N165" s="3"/>
    </row>
    <row r="166" spans="12:14">
      <c r="L166" s="3" t="str">
        <f>IFERROR(VLOOKUP(Tabela2[[#This Row],[Campanha]],Campanhas!A:C,3,FALSE),"")</f>
        <v/>
      </c>
      <c r="M166" s="3" t="str">
        <f>IFERROR(VLOOKUP(Tabela2[[#This Row],[Campanha]],Campanhas!A:C,2,FALSE),"")</f>
        <v/>
      </c>
      <c r="N166" s="3"/>
    </row>
    <row r="167" spans="12:14">
      <c r="L167" s="3" t="str">
        <f>IFERROR(VLOOKUP(Tabela2[[#This Row],[Campanha]],Campanhas!A:C,3,FALSE),"")</f>
        <v/>
      </c>
      <c r="M167" s="3" t="str">
        <f>IFERROR(VLOOKUP(Tabela2[[#This Row],[Campanha]],Campanhas!A:C,2,FALSE),"")</f>
        <v/>
      </c>
      <c r="N167" s="3"/>
    </row>
    <row r="168" spans="12:14">
      <c r="L168" s="3" t="str">
        <f>IFERROR(VLOOKUP(Tabela2[[#This Row],[Campanha]],Campanhas!A:C,3,FALSE),"")</f>
        <v/>
      </c>
      <c r="M168" s="3" t="str">
        <f>IFERROR(VLOOKUP(Tabela2[[#This Row],[Campanha]],Campanhas!A:C,2,FALSE),"")</f>
        <v/>
      </c>
      <c r="N168" s="3"/>
    </row>
    <row r="169" spans="12:14">
      <c r="L169" s="3" t="str">
        <f>IFERROR(VLOOKUP(Tabela2[[#This Row],[Campanha]],Campanhas!A:C,3,FALSE),"")</f>
        <v/>
      </c>
      <c r="M169" s="3" t="str">
        <f>IFERROR(VLOOKUP(Tabela2[[#This Row],[Campanha]],Campanhas!A:C,2,FALSE),"")</f>
        <v/>
      </c>
      <c r="N169" s="3"/>
    </row>
    <row r="170" spans="12:14">
      <c r="L170" s="3" t="str">
        <f>IFERROR(VLOOKUP(Tabela2[[#This Row],[Campanha]],Campanhas!A:C,3,FALSE),"")</f>
        <v/>
      </c>
      <c r="M170" s="3" t="str">
        <f>IFERROR(VLOOKUP(Tabela2[[#This Row],[Campanha]],Campanhas!A:C,2,FALSE),"")</f>
        <v/>
      </c>
      <c r="N170" s="3"/>
    </row>
    <row r="171" spans="12:14">
      <c r="L171" s="3" t="str">
        <f>IFERROR(VLOOKUP(Tabela2[[#This Row],[Campanha]],Campanhas!A:C,3,FALSE),"")</f>
        <v/>
      </c>
      <c r="M171" s="3" t="str">
        <f>IFERROR(VLOOKUP(Tabela2[[#This Row],[Campanha]],Campanhas!A:C,2,FALSE),"")</f>
        <v/>
      </c>
      <c r="N171" s="3"/>
    </row>
    <row r="172" spans="12:14">
      <c r="L172" s="3" t="str">
        <f>IFERROR(VLOOKUP(Tabela2[[#This Row],[Campanha]],Campanhas!A:C,3,FALSE),"")</f>
        <v/>
      </c>
      <c r="M172" s="3" t="str">
        <f>IFERROR(VLOOKUP(Tabela2[[#This Row],[Campanha]],Campanhas!A:C,2,FALSE),"")</f>
        <v/>
      </c>
      <c r="N172" s="3"/>
    </row>
    <row r="173" spans="12:14">
      <c r="L173" s="3" t="str">
        <f>IFERROR(VLOOKUP(Tabela2[[#This Row],[Campanha]],Campanhas!A:C,3,FALSE),"")</f>
        <v/>
      </c>
      <c r="M173" s="3" t="str">
        <f>IFERROR(VLOOKUP(Tabela2[[#This Row],[Campanha]],Campanhas!A:C,2,FALSE),"")</f>
        <v/>
      </c>
      <c r="N173" s="3"/>
    </row>
    <row r="174" spans="12:14">
      <c r="L174" s="3" t="str">
        <f>IFERROR(VLOOKUP(Tabela2[[#This Row],[Campanha]],Campanhas!A:C,3,FALSE),"")</f>
        <v/>
      </c>
      <c r="M174" s="3" t="str">
        <f>IFERROR(VLOOKUP(Tabela2[[#This Row],[Campanha]],Campanhas!A:C,2,FALSE),"")</f>
        <v/>
      </c>
      <c r="N174" s="3"/>
    </row>
    <row r="175" spans="12:14">
      <c r="L175" s="3" t="str">
        <f>IFERROR(VLOOKUP(Tabela2[[#This Row],[Campanha]],Campanhas!A:C,3,FALSE),"")</f>
        <v/>
      </c>
      <c r="M175" s="3" t="str">
        <f>IFERROR(VLOOKUP(Tabela2[[#This Row],[Campanha]],Campanhas!A:C,2,FALSE),"")</f>
        <v/>
      </c>
      <c r="N175" s="3"/>
    </row>
    <row r="176" spans="12:14">
      <c r="L176" s="3" t="str">
        <f>IFERROR(VLOOKUP(Tabela2[[#This Row],[Campanha]],Campanhas!A:C,3,FALSE),"")</f>
        <v/>
      </c>
      <c r="M176" s="3" t="str">
        <f>IFERROR(VLOOKUP(Tabela2[[#This Row],[Campanha]],Campanhas!A:C,2,FALSE),"")</f>
        <v/>
      </c>
      <c r="N176" s="3"/>
    </row>
    <row r="177" spans="12:14">
      <c r="L177" s="3" t="str">
        <f>IFERROR(VLOOKUP(Tabela2[[#This Row],[Campanha]],Campanhas!A:C,3,FALSE),"")</f>
        <v/>
      </c>
      <c r="M177" s="3" t="str">
        <f>IFERROR(VLOOKUP(Tabela2[[#This Row],[Campanha]],Campanhas!A:C,2,FALSE),"")</f>
        <v/>
      </c>
      <c r="N177" s="3"/>
    </row>
    <row r="178" spans="12:14">
      <c r="L178" s="3" t="str">
        <f>IFERROR(VLOOKUP(Tabela2[[#This Row],[Campanha]],Campanhas!A:C,3,FALSE),"")</f>
        <v/>
      </c>
      <c r="M178" s="3" t="str">
        <f>IFERROR(VLOOKUP(Tabela2[[#This Row],[Campanha]],Campanhas!A:C,2,FALSE),"")</f>
        <v/>
      </c>
      <c r="N178" s="3"/>
    </row>
    <row r="179" spans="12:14">
      <c r="L179" s="3" t="str">
        <f>IFERROR(VLOOKUP(Tabela2[[#This Row],[Campanha]],Campanhas!A:C,3,FALSE),"")</f>
        <v/>
      </c>
      <c r="M179" s="3" t="str">
        <f>IFERROR(VLOOKUP(Tabela2[[#This Row],[Campanha]],Campanhas!A:C,2,FALSE),"")</f>
        <v/>
      </c>
      <c r="N179" s="3"/>
    </row>
    <row r="180" spans="12:14">
      <c r="L180" s="3" t="str">
        <f>IFERROR(VLOOKUP(Tabela2[[#This Row],[Campanha]],Campanhas!A:C,3,FALSE),"")</f>
        <v/>
      </c>
      <c r="M180" s="3" t="str">
        <f>IFERROR(VLOOKUP(Tabela2[[#This Row],[Campanha]],Campanhas!A:C,2,FALSE),"")</f>
        <v/>
      </c>
      <c r="N180" s="3"/>
    </row>
    <row r="181" spans="12:14">
      <c r="L181" s="3" t="str">
        <f>IFERROR(VLOOKUP(Tabela2[[#This Row],[Campanha]],Campanhas!A:C,3,FALSE),"")</f>
        <v/>
      </c>
      <c r="M181" s="3" t="str">
        <f>IFERROR(VLOOKUP(Tabela2[[#This Row],[Campanha]],Campanhas!A:C,2,FALSE),"")</f>
        <v/>
      </c>
      <c r="N181" s="3"/>
    </row>
    <row r="182" spans="12:14">
      <c r="L182" s="3" t="str">
        <f>IFERROR(VLOOKUP(Tabela2[[#This Row],[Campanha]],Campanhas!A:C,3,FALSE),"")</f>
        <v/>
      </c>
      <c r="M182" s="3" t="str">
        <f>IFERROR(VLOOKUP(Tabela2[[#This Row],[Campanha]],Campanhas!A:C,2,FALSE),"")</f>
        <v/>
      </c>
      <c r="N182" s="3"/>
    </row>
    <row r="183" spans="12:14">
      <c r="L183" s="3" t="str">
        <f>IFERROR(VLOOKUP(Tabela2[[#This Row],[Campanha]],Campanhas!A:C,3,FALSE),"")</f>
        <v/>
      </c>
      <c r="M183" s="3" t="str">
        <f>IFERROR(VLOOKUP(Tabela2[[#This Row],[Campanha]],Campanhas!A:C,2,FALSE),"")</f>
        <v/>
      </c>
      <c r="N183" s="3"/>
    </row>
    <row r="184" spans="12:14">
      <c r="L184" s="3" t="str">
        <f>IFERROR(VLOOKUP(Tabela2[[#This Row],[Campanha]],Campanhas!A:C,3,FALSE),"")</f>
        <v/>
      </c>
      <c r="M184" s="3" t="str">
        <f>IFERROR(VLOOKUP(Tabela2[[#This Row],[Campanha]],Campanhas!A:C,2,FALSE),"")</f>
        <v/>
      </c>
      <c r="N184" s="3"/>
    </row>
    <row r="185" spans="12:14">
      <c r="L185" s="3" t="str">
        <f>IFERROR(VLOOKUP(Tabela2[[#This Row],[Campanha]],Campanhas!A:C,3,FALSE),"")</f>
        <v/>
      </c>
      <c r="M185" s="3" t="str">
        <f>IFERROR(VLOOKUP(Tabela2[[#This Row],[Campanha]],Campanhas!A:C,2,FALSE),"")</f>
        <v/>
      </c>
      <c r="N185" s="3"/>
    </row>
    <row r="186" spans="12:14">
      <c r="L186" s="3" t="str">
        <f>IFERROR(VLOOKUP(Tabela2[[#This Row],[Campanha]],Campanhas!A:C,3,FALSE),"")</f>
        <v/>
      </c>
      <c r="M186" s="3" t="str">
        <f>IFERROR(VLOOKUP(Tabela2[[#This Row],[Campanha]],Campanhas!A:C,2,FALSE),"")</f>
        <v/>
      </c>
      <c r="N186" s="3"/>
    </row>
    <row r="187" spans="12:14">
      <c r="L187" s="3" t="str">
        <f>IFERROR(VLOOKUP(Tabela2[[#This Row],[Campanha]],Campanhas!A:C,3,FALSE),"")</f>
        <v/>
      </c>
      <c r="M187" s="3" t="str">
        <f>IFERROR(VLOOKUP(Tabela2[[#This Row],[Campanha]],Campanhas!A:C,2,FALSE),"")</f>
        <v/>
      </c>
      <c r="N187" s="3"/>
    </row>
    <row r="188" spans="12:14">
      <c r="L188" s="3" t="str">
        <f>IFERROR(VLOOKUP(Tabela2[[#This Row],[Campanha]],Campanhas!A:C,3,FALSE),"")</f>
        <v/>
      </c>
      <c r="M188" s="3" t="str">
        <f>IFERROR(VLOOKUP(Tabela2[[#This Row],[Campanha]],Campanhas!A:C,2,FALSE),"")</f>
        <v/>
      </c>
      <c r="N188" s="3"/>
    </row>
    <row r="189" spans="12:14">
      <c r="L189" s="3" t="str">
        <f>IFERROR(VLOOKUP(Tabela2[[#This Row],[Campanha]],Campanhas!A:C,3,FALSE),"")</f>
        <v/>
      </c>
      <c r="M189" s="3" t="str">
        <f>IFERROR(VLOOKUP(Tabela2[[#This Row],[Campanha]],Campanhas!A:C,2,FALSE),"")</f>
        <v/>
      </c>
      <c r="N189" s="3"/>
    </row>
    <row r="190" spans="12:14">
      <c r="L190" s="3" t="str">
        <f>IFERROR(VLOOKUP(Tabela2[[#This Row],[Campanha]],Campanhas!A:C,3,FALSE),"")</f>
        <v/>
      </c>
      <c r="M190" s="3" t="str">
        <f>IFERROR(VLOOKUP(Tabela2[[#This Row],[Campanha]],Campanhas!A:C,2,FALSE),"")</f>
        <v/>
      </c>
      <c r="N190" s="3"/>
    </row>
    <row r="191" spans="12:14">
      <c r="L191" s="3" t="str">
        <f>IFERROR(VLOOKUP(Tabela2[[#This Row],[Campanha]],Campanhas!A:C,3,FALSE),"")</f>
        <v/>
      </c>
      <c r="M191" s="3" t="str">
        <f>IFERROR(VLOOKUP(Tabela2[[#This Row],[Campanha]],Campanhas!A:C,2,FALSE),"")</f>
        <v/>
      </c>
      <c r="N191" s="3"/>
    </row>
    <row r="192" spans="12:14">
      <c r="L192" s="3" t="str">
        <f>IFERROR(VLOOKUP(Tabela2[[#This Row],[Campanha]],Campanhas!A:C,3,FALSE),"")</f>
        <v/>
      </c>
      <c r="M192" s="3" t="str">
        <f>IFERROR(VLOOKUP(Tabela2[[#This Row],[Campanha]],Campanhas!A:C,2,FALSE),"")</f>
        <v/>
      </c>
      <c r="N192" s="3"/>
    </row>
    <row r="193" spans="12:14">
      <c r="L193" s="3" t="str">
        <f>IFERROR(VLOOKUP(Tabela2[[#This Row],[Campanha]],Campanhas!A:C,3,FALSE),"")</f>
        <v/>
      </c>
      <c r="M193" s="3" t="str">
        <f>IFERROR(VLOOKUP(Tabela2[[#This Row],[Campanha]],Campanhas!A:C,2,FALSE),"")</f>
        <v/>
      </c>
      <c r="N193" s="3"/>
    </row>
    <row r="194" spans="12:14">
      <c r="L194" s="3" t="str">
        <f>IFERROR(VLOOKUP(Tabela2[[#This Row],[Campanha]],Campanhas!A:C,3,FALSE),"")</f>
        <v/>
      </c>
      <c r="M194" s="3" t="str">
        <f>IFERROR(VLOOKUP(Tabela2[[#This Row],[Campanha]],Campanhas!A:C,2,FALSE),"")</f>
        <v/>
      </c>
      <c r="N194" s="3"/>
    </row>
    <row r="195" spans="12:14">
      <c r="L195" s="3" t="str">
        <f>IFERROR(VLOOKUP(Tabela2[[#This Row],[Campanha]],Campanhas!A:C,3,FALSE),"")</f>
        <v/>
      </c>
      <c r="M195" s="3" t="str">
        <f>IFERROR(VLOOKUP(Tabela2[[#This Row],[Campanha]],Campanhas!A:C,2,FALSE),"")</f>
        <v/>
      </c>
      <c r="N195" s="3"/>
    </row>
    <row r="196" spans="12:14">
      <c r="L196" s="3" t="str">
        <f>IFERROR(VLOOKUP(Tabela2[[#This Row],[Campanha]],Campanhas!A:C,3,FALSE),"")</f>
        <v/>
      </c>
      <c r="M196" s="3" t="str">
        <f>IFERROR(VLOOKUP(Tabela2[[#This Row],[Campanha]],Campanhas!A:C,2,FALSE),"")</f>
        <v/>
      </c>
      <c r="N196" s="3"/>
    </row>
    <row r="197" spans="12:14">
      <c r="L197" s="3" t="str">
        <f>IFERROR(VLOOKUP(Tabela2[[#This Row],[Campanha]],Campanhas!A:C,3,FALSE),"")</f>
        <v/>
      </c>
      <c r="M197" s="3" t="str">
        <f>IFERROR(VLOOKUP(Tabela2[[#This Row],[Campanha]],Campanhas!A:C,2,FALSE),"")</f>
        <v/>
      </c>
      <c r="N197" s="3"/>
    </row>
    <row r="198" spans="12:14">
      <c r="L198" s="3" t="str">
        <f>IFERROR(VLOOKUP(Tabela2[[#This Row],[Campanha]],Campanhas!A:C,3,FALSE),"")</f>
        <v/>
      </c>
      <c r="M198" s="3" t="str">
        <f>IFERROR(VLOOKUP(Tabela2[[#This Row],[Campanha]],Campanhas!A:C,2,FALSE),"")</f>
        <v/>
      </c>
      <c r="N198" s="3"/>
    </row>
    <row r="199" spans="12:14">
      <c r="L199" s="3" t="str">
        <f>IFERROR(VLOOKUP(Tabela2[[#This Row],[Campanha]],Campanhas!A:C,3,FALSE),"")</f>
        <v/>
      </c>
      <c r="M199" s="3" t="str">
        <f>IFERROR(VLOOKUP(Tabela2[[#This Row],[Campanha]],Campanhas!A:C,2,FALSE),"")</f>
        <v/>
      </c>
      <c r="N199" s="3"/>
    </row>
    <row r="200" spans="12:14">
      <c r="L200" s="3" t="str">
        <f>IFERROR(VLOOKUP(Tabela2[[#This Row],[Campanha]],Campanhas!A:C,3,FALSE),"")</f>
        <v/>
      </c>
      <c r="M200" s="3" t="str">
        <f>IFERROR(VLOOKUP(Tabela2[[#This Row],[Campanha]],Campanhas!A:C,2,FALSE),"")</f>
        <v/>
      </c>
      <c r="N200" s="3"/>
    </row>
    <row r="201" spans="12:14">
      <c r="L201" s="3" t="str">
        <f>IFERROR(VLOOKUP(Tabela2[[#This Row],[Campanha]],Campanhas!A:C,3,FALSE),"")</f>
        <v/>
      </c>
      <c r="M201" s="3" t="str">
        <f>IFERROR(VLOOKUP(Tabela2[[#This Row],[Campanha]],Campanhas!A:C,2,FALSE),"")</f>
        <v/>
      </c>
      <c r="N201" s="3"/>
    </row>
    <row r="202" spans="12:14">
      <c r="L202" s="3" t="str">
        <f>IFERROR(VLOOKUP(Tabela2[[#This Row],[Campanha]],Campanhas!A:C,3,FALSE),"")</f>
        <v/>
      </c>
      <c r="M202" s="3" t="str">
        <f>IFERROR(VLOOKUP(Tabela2[[#This Row],[Campanha]],Campanhas!A:C,2,FALSE),"")</f>
        <v/>
      </c>
      <c r="N202" s="3"/>
    </row>
    <row r="203" spans="12:14">
      <c r="L203" s="3" t="str">
        <f>IFERROR(VLOOKUP(Tabela2[[#This Row],[Campanha]],Campanhas!A:C,3,FALSE),"")</f>
        <v/>
      </c>
      <c r="M203" s="3" t="str">
        <f>IFERROR(VLOOKUP(Tabela2[[#This Row],[Campanha]],Campanhas!A:C,2,FALSE),"")</f>
        <v/>
      </c>
      <c r="N203" s="3"/>
    </row>
    <row r="204" spans="12:14">
      <c r="L204" s="3" t="str">
        <f>IFERROR(VLOOKUP(Tabela2[[#This Row],[Campanha]],Campanhas!A:C,3,FALSE),"")</f>
        <v/>
      </c>
      <c r="M204" s="3" t="str">
        <f>IFERROR(VLOOKUP(Tabela2[[#This Row],[Campanha]],Campanhas!A:C,2,FALSE),"")</f>
        <v/>
      </c>
      <c r="N204" s="3"/>
    </row>
    <row r="205" spans="12:14">
      <c r="L205" s="3" t="str">
        <f>IFERROR(VLOOKUP(Tabela2[[#This Row],[Campanha]],Campanhas!A:C,3,FALSE),"")</f>
        <v/>
      </c>
      <c r="M205" s="3" t="str">
        <f>IFERROR(VLOOKUP(Tabela2[[#This Row],[Campanha]],Campanhas!A:C,2,FALSE),"")</f>
        <v/>
      </c>
      <c r="N205" s="3"/>
    </row>
    <row r="206" spans="12:14">
      <c r="L206" s="3" t="str">
        <f>IFERROR(VLOOKUP(Tabela2[[#This Row],[Campanha]],Campanhas!A:C,3,FALSE),"")</f>
        <v/>
      </c>
      <c r="M206" s="3" t="str">
        <f>IFERROR(VLOOKUP(Tabela2[[#This Row],[Campanha]],Campanhas!A:C,2,FALSE),"")</f>
        <v/>
      </c>
      <c r="N206" s="3"/>
    </row>
    <row r="207" spans="12:14">
      <c r="L207" s="3" t="str">
        <f>IFERROR(VLOOKUP(Tabela2[[#This Row],[Campanha]],Campanhas!A:C,3,FALSE),"")</f>
        <v/>
      </c>
      <c r="M207" s="3" t="str">
        <f>IFERROR(VLOOKUP(Tabela2[[#This Row],[Campanha]],Campanhas!A:C,2,FALSE),"")</f>
        <v/>
      </c>
      <c r="N207" s="3"/>
    </row>
    <row r="208" spans="12:14">
      <c r="L208" s="3" t="str">
        <f>IFERROR(VLOOKUP(Tabela2[[#This Row],[Campanha]],Campanhas!A:C,3,FALSE),"")</f>
        <v/>
      </c>
      <c r="M208" s="3" t="str">
        <f>IFERROR(VLOOKUP(Tabela2[[#This Row],[Campanha]],Campanhas!A:C,2,FALSE),"")</f>
        <v/>
      </c>
      <c r="N208" s="3"/>
    </row>
    <row r="209" spans="12:14">
      <c r="L209" s="3" t="str">
        <f>IFERROR(VLOOKUP(Tabela2[[#This Row],[Campanha]],Campanhas!A:C,3,FALSE),"")</f>
        <v/>
      </c>
      <c r="M209" s="3" t="str">
        <f>IFERROR(VLOOKUP(Tabela2[[#This Row],[Campanha]],Campanhas!A:C,2,FALSE),"")</f>
        <v/>
      </c>
      <c r="N209" s="3"/>
    </row>
    <row r="210" spans="12:14">
      <c r="L210" s="3" t="str">
        <f>IFERROR(VLOOKUP(Tabela2[[#This Row],[Campanha]],Campanhas!A:C,3,FALSE),"")</f>
        <v/>
      </c>
      <c r="M210" s="3" t="str">
        <f>IFERROR(VLOOKUP(Tabela2[[#This Row],[Campanha]],Campanhas!A:C,2,FALSE),"")</f>
        <v/>
      </c>
      <c r="N210" s="3"/>
    </row>
    <row r="211" spans="12:14">
      <c r="L211" s="3" t="str">
        <f>IFERROR(VLOOKUP(Tabela2[[#This Row],[Campanha]],Campanhas!A:C,3,FALSE),"")</f>
        <v/>
      </c>
      <c r="M211" s="3" t="str">
        <f>IFERROR(VLOOKUP(Tabela2[[#This Row],[Campanha]],Campanhas!A:C,2,FALSE),"")</f>
        <v/>
      </c>
      <c r="N211" s="3"/>
    </row>
    <row r="212" spans="12:14">
      <c r="L212" s="3" t="str">
        <f>IFERROR(VLOOKUP(Tabela2[[#This Row],[Campanha]],Campanhas!A:C,3,FALSE),"")</f>
        <v/>
      </c>
      <c r="M212" s="3" t="str">
        <f>IFERROR(VLOOKUP(Tabela2[[#This Row],[Campanha]],Campanhas!A:C,2,FALSE),"")</f>
        <v/>
      </c>
      <c r="N212" s="3"/>
    </row>
    <row r="213" spans="12:14">
      <c r="L213" s="3" t="str">
        <f>IFERROR(VLOOKUP(Tabela2[[#This Row],[Campanha]],Campanhas!A:C,3,FALSE),"")</f>
        <v/>
      </c>
      <c r="M213" s="3" t="str">
        <f>IFERROR(VLOOKUP(Tabela2[[#This Row],[Campanha]],Campanhas!A:C,2,FALSE),"")</f>
        <v/>
      </c>
      <c r="N213" s="3"/>
    </row>
    <row r="214" spans="12:14">
      <c r="L214" s="3" t="str">
        <f>IFERROR(VLOOKUP(Tabela2[[#This Row],[Campanha]],Campanhas!A:C,3,FALSE),"")</f>
        <v/>
      </c>
      <c r="M214" s="3" t="str">
        <f>IFERROR(VLOOKUP(Tabela2[[#This Row],[Campanha]],Campanhas!A:C,2,FALSE),"")</f>
        <v/>
      </c>
      <c r="N214" s="3"/>
    </row>
    <row r="215" spans="12:14">
      <c r="L215" s="3" t="str">
        <f>IFERROR(VLOOKUP(Tabela2[[#This Row],[Campanha]],Campanhas!A:C,3,FALSE),"")</f>
        <v/>
      </c>
      <c r="M215" s="3" t="str">
        <f>IFERROR(VLOOKUP(Tabela2[[#This Row],[Campanha]],Campanhas!A:C,2,FALSE),"")</f>
        <v/>
      </c>
      <c r="N215" s="3"/>
    </row>
    <row r="216" spans="12:14">
      <c r="L216" s="3" t="str">
        <f>IFERROR(VLOOKUP(Tabela2[[#This Row],[Campanha]],Campanhas!A:C,3,FALSE),"")</f>
        <v/>
      </c>
      <c r="M216" s="3" t="str">
        <f>IFERROR(VLOOKUP(Tabela2[[#This Row],[Campanha]],Campanhas!A:C,2,FALSE),"")</f>
        <v/>
      </c>
      <c r="N216" s="3"/>
    </row>
    <row r="217" spans="12:14">
      <c r="L217" s="3" t="str">
        <f>IFERROR(VLOOKUP(Tabela2[[#This Row],[Campanha]],Campanhas!A:C,3,FALSE),"")</f>
        <v/>
      </c>
      <c r="M217" s="3" t="str">
        <f>IFERROR(VLOOKUP(Tabela2[[#This Row],[Campanha]],Campanhas!A:C,2,FALSE),"")</f>
        <v/>
      </c>
      <c r="N217" s="3"/>
    </row>
    <row r="218" spans="12:14">
      <c r="L218" s="3" t="str">
        <f>IFERROR(VLOOKUP(Tabela2[[#This Row],[Campanha]],Campanhas!A:C,3,FALSE),"")</f>
        <v/>
      </c>
      <c r="M218" s="3" t="str">
        <f>IFERROR(VLOOKUP(Tabela2[[#This Row],[Campanha]],Campanhas!A:C,2,FALSE),"")</f>
        <v/>
      </c>
      <c r="N218" s="3"/>
    </row>
    <row r="219" spans="12:14">
      <c r="L219" s="3" t="str">
        <f>IFERROR(VLOOKUP(Tabela2[[#This Row],[Campanha]],Campanhas!A:C,3,FALSE),"")</f>
        <v/>
      </c>
      <c r="M219" s="3" t="str">
        <f>IFERROR(VLOOKUP(Tabela2[[#This Row],[Campanha]],Campanhas!A:C,2,FALSE),"")</f>
        <v/>
      </c>
      <c r="N219" s="3"/>
    </row>
    <row r="220" spans="12:14">
      <c r="L220" s="3" t="str">
        <f>IFERROR(VLOOKUP(Tabela2[[#This Row],[Campanha]],Campanhas!A:C,3,FALSE),"")</f>
        <v/>
      </c>
      <c r="M220" s="3" t="str">
        <f>IFERROR(VLOOKUP(Tabela2[[#This Row],[Campanha]],Campanhas!A:C,2,FALSE),"")</f>
        <v/>
      </c>
      <c r="N220" s="3"/>
    </row>
    <row r="221" spans="12:14">
      <c r="L221" s="3" t="str">
        <f>IFERROR(VLOOKUP(Tabela2[[#This Row],[Campanha]],Campanhas!A:C,3,FALSE),"")</f>
        <v/>
      </c>
      <c r="M221" s="3" t="str">
        <f>IFERROR(VLOOKUP(Tabela2[[#This Row],[Campanha]],Campanhas!A:C,2,FALSE),"")</f>
        <v/>
      </c>
      <c r="N221" s="3"/>
    </row>
    <row r="222" spans="12:14">
      <c r="L222" s="3" t="str">
        <f>IFERROR(VLOOKUP(Tabela2[[#This Row],[Campanha]],Campanhas!A:C,3,FALSE),"")</f>
        <v/>
      </c>
      <c r="M222" s="3" t="str">
        <f>IFERROR(VLOOKUP(Tabela2[[#This Row],[Campanha]],Campanhas!A:C,2,FALSE),"")</f>
        <v/>
      </c>
      <c r="N222" s="3"/>
    </row>
    <row r="223" spans="12:14">
      <c r="L223" s="3" t="str">
        <f>IFERROR(VLOOKUP(Tabela2[[#This Row],[Campanha]],Campanhas!A:C,3,FALSE),"")</f>
        <v/>
      </c>
      <c r="M223" s="3" t="str">
        <f>IFERROR(VLOOKUP(Tabela2[[#This Row],[Campanha]],Campanhas!A:C,2,FALSE),"")</f>
        <v/>
      </c>
      <c r="N223" s="3"/>
    </row>
    <row r="224" spans="12:14">
      <c r="L224" s="3" t="str">
        <f>IFERROR(VLOOKUP(Tabela2[[#This Row],[Campanha]],Campanhas!A:C,3,FALSE),"")</f>
        <v/>
      </c>
      <c r="M224" s="3" t="str">
        <f>IFERROR(VLOOKUP(Tabela2[[#This Row],[Campanha]],Campanhas!A:C,2,FALSE),"")</f>
        <v/>
      </c>
      <c r="N224" s="3"/>
    </row>
    <row r="225" spans="12:14">
      <c r="L225" s="3" t="str">
        <f>IFERROR(VLOOKUP(Tabela2[[#This Row],[Campanha]],Campanhas!A:C,3,FALSE),"")</f>
        <v/>
      </c>
      <c r="M225" s="3" t="str">
        <f>IFERROR(VLOOKUP(Tabela2[[#This Row],[Campanha]],Campanhas!A:C,2,FALSE),"")</f>
        <v/>
      </c>
      <c r="N225" s="3"/>
    </row>
    <row r="226" spans="12:14">
      <c r="L226" s="3" t="str">
        <f>IFERROR(VLOOKUP(Tabela2[[#This Row],[Campanha]],Campanhas!A:C,3,FALSE),"")</f>
        <v/>
      </c>
      <c r="M226" s="3" t="str">
        <f>IFERROR(VLOOKUP(Tabela2[[#This Row],[Campanha]],Campanhas!A:C,2,FALSE),"")</f>
        <v/>
      </c>
      <c r="N226" s="3"/>
    </row>
    <row r="227" spans="12:14">
      <c r="L227" s="3" t="str">
        <f>IFERROR(VLOOKUP(Tabela2[[#This Row],[Campanha]],Campanhas!A:C,3,FALSE),"")</f>
        <v/>
      </c>
      <c r="M227" s="3" t="str">
        <f>IFERROR(VLOOKUP(Tabela2[[#This Row],[Campanha]],Campanhas!A:C,2,FALSE),"")</f>
        <v/>
      </c>
      <c r="N227" s="3"/>
    </row>
    <row r="228" spans="12:14">
      <c r="L228" s="3" t="str">
        <f>IFERROR(VLOOKUP(Tabela2[[#This Row],[Campanha]],Campanhas!A:C,3,FALSE),"")</f>
        <v/>
      </c>
      <c r="M228" s="3" t="str">
        <f>IFERROR(VLOOKUP(Tabela2[[#This Row],[Campanha]],Campanhas!A:C,2,FALSE),"")</f>
        <v/>
      </c>
      <c r="N228" s="3"/>
    </row>
    <row r="229" spans="12:14">
      <c r="L229" s="3" t="str">
        <f>IFERROR(VLOOKUP(Tabela2[[#This Row],[Campanha]],Campanhas!A:C,3,FALSE),"")</f>
        <v/>
      </c>
      <c r="M229" s="3" t="str">
        <f>IFERROR(VLOOKUP(Tabela2[[#This Row],[Campanha]],Campanhas!A:C,2,FALSE),"")</f>
        <v/>
      </c>
      <c r="N229" s="3"/>
    </row>
    <row r="230" spans="12:14">
      <c r="L230" s="3" t="str">
        <f>IFERROR(VLOOKUP(Tabela2[[#This Row],[Campanha]],Campanhas!A:C,3,FALSE),"")</f>
        <v/>
      </c>
      <c r="M230" s="3" t="str">
        <f>IFERROR(VLOOKUP(Tabela2[[#This Row],[Campanha]],Campanhas!A:C,2,FALSE),"")</f>
        <v/>
      </c>
      <c r="N230" s="3"/>
    </row>
    <row r="231" spans="12:14">
      <c r="L231" s="3" t="str">
        <f>IFERROR(VLOOKUP(Tabela2[[#This Row],[Campanha]],Campanhas!A:C,3,FALSE),"")</f>
        <v/>
      </c>
      <c r="M231" s="3" t="str">
        <f>IFERROR(VLOOKUP(Tabela2[[#This Row],[Campanha]],Campanhas!A:C,2,FALSE),"")</f>
        <v/>
      </c>
      <c r="N231" s="3"/>
    </row>
    <row r="232" spans="12:14">
      <c r="L232" s="3" t="str">
        <f>IFERROR(VLOOKUP(Tabela2[[#This Row],[Campanha]],Campanhas!A:C,3,FALSE),"")</f>
        <v/>
      </c>
      <c r="M232" s="3" t="str">
        <f>IFERROR(VLOOKUP(Tabela2[[#This Row],[Campanha]],Campanhas!A:C,2,FALSE),"")</f>
        <v/>
      </c>
      <c r="N232" s="3"/>
    </row>
    <row r="233" spans="12:14">
      <c r="L233" s="3" t="str">
        <f>IFERROR(VLOOKUP(Tabela2[[#This Row],[Campanha]],Campanhas!A:C,3,FALSE),"")</f>
        <v/>
      </c>
      <c r="M233" s="3" t="str">
        <f>IFERROR(VLOOKUP(Tabela2[[#This Row],[Campanha]],Campanhas!A:C,2,FALSE),"")</f>
        <v/>
      </c>
      <c r="N233" s="3"/>
    </row>
    <row r="234" spans="12:14">
      <c r="L234" s="3" t="str">
        <f>IFERROR(VLOOKUP(Tabela2[[#This Row],[Campanha]],Campanhas!A:C,3,FALSE),"")</f>
        <v/>
      </c>
      <c r="M234" s="3" t="str">
        <f>IFERROR(VLOOKUP(Tabela2[[#This Row],[Campanha]],Campanhas!A:C,2,FALSE),"")</f>
        <v/>
      </c>
      <c r="N234" s="3"/>
    </row>
    <row r="235" spans="12:14">
      <c r="L235" s="3" t="str">
        <f>IFERROR(VLOOKUP(Tabela2[[#This Row],[Campanha]],Campanhas!A:C,3,FALSE),"")</f>
        <v/>
      </c>
      <c r="M235" s="3" t="str">
        <f>IFERROR(VLOOKUP(Tabela2[[#This Row],[Campanha]],Campanhas!A:C,2,FALSE),"")</f>
        <v/>
      </c>
      <c r="N235" s="3"/>
    </row>
    <row r="236" spans="12:14">
      <c r="L236" s="3" t="str">
        <f>IFERROR(VLOOKUP(Tabela2[[#This Row],[Campanha]],Campanhas!A:C,3,FALSE),"")</f>
        <v/>
      </c>
      <c r="M236" s="3" t="str">
        <f>IFERROR(VLOOKUP(Tabela2[[#This Row],[Campanha]],Campanhas!A:C,2,FALSE),"")</f>
        <v/>
      </c>
      <c r="N236" s="3"/>
    </row>
    <row r="237" spans="12:14">
      <c r="L237" s="3" t="str">
        <f>IFERROR(VLOOKUP(Tabela2[[#This Row],[Campanha]],Campanhas!A:C,3,FALSE),"")</f>
        <v/>
      </c>
      <c r="M237" s="3" t="str">
        <f>IFERROR(VLOOKUP(Tabela2[[#This Row],[Campanha]],Campanhas!A:C,2,FALSE),"")</f>
        <v/>
      </c>
      <c r="N237" s="3"/>
    </row>
    <row r="238" spans="12:14">
      <c r="L238" s="3" t="str">
        <f>IFERROR(VLOOKUP(Tabela2[[#This Row],[Campanha]],Campanhas!A:C,3,FALSE),"")</f>
        <v/>
      </c>
      <c r="M238" s="3" t="str">
        <f>IFERROR(VLOOKUP(Tabela2[[#This Row],[Campanha]],Campanhas!A:C,2,FALSE),"")</f>
        <v/>
      </c>
      <c r="N238" s="3"/>
    </row>
    <row r="239" spans="12:14">
      <c r="L239" s="3" t="str">
        <f>IFERROR(VLOOKUP(Tabela2[[#This Row],[Campanha]],Campanhas!A:C,3,FALSE),"")</f>
        <v/>
      </c>
      <c r="M239" s="3" t="str">
        <f>IFERROR(VLOOKUP(Tabela2[[#This Row],[Campanha]],Campanhas!A:C,2,FALSE),"")</f>
        <v/>
      </c>
      <c r="N239" s="3"/>
    </row>
    <row r="240" spans="12:14">
      <c r="L240" s="3" t="str">
        <f>IFERROR(VLOOKUP(Tabela2[[#This Row],[Campanha]],Campanhas!A:C,3,FALSE),"")</f>
        <v/>
      </c>
      <c r="M240" s="3" t="str">
        <f>IFERROR(VLOOKUP(Tabela2[[#This Row],[Campanha]],Campanhas!A:C,2,FALSE),"")</f>
        <v/>
      </c>
      <c r="N240" s="3"/>
    </row>
    <row r="241" spans="12:14">
      <c r="L241" s="3" t="str">
        <f>IFERROR(VLOOKUP(Tabela2[[#This Row],[Campanha]],Campanhas!A:C,3,FALSE),"")</f>
        <v/>
      </c>
      <c r="M241" s="3" t="str">
        <f>IFERROR(VLOOKUP(Tabela2[[#This Row],[Campanha]],Campanhas!A:C,2,FALSE),"")</f>
        <v/>
      </c>
      <c r="N241" s="3"/>
    </row>
    <row r="242" spans="12:14">
      <c r="L242" s="3" t="str">
        <f>IFERROR(VLOOKUP(Tabela2[[#This Row],[Campanha]],Campanhas!A:C,3,FALSE),"")</f>
        <v/>
      </c>
      <c r="M242" s="3" t="str">
        <f>IFERROR(VLOOKUP(Tabela2[[#This Row],[Campanha]],Campanhas!A:C,2,FALSE),"")</f>
        <v/>
      </c>
      <c r="N242" s="3"/>
    </row>
    <row r="243" spans="12:14">
      <c r="L243" s="3" t="str">
        <f>IFERROR(VLOOKUP(Tabela2[[#This Row],[Campanha]],Campanhas!A:C,3,FALSE),"")</f>
        <v/>
      </c>
      <c r="M243" s="3" t="str">
        <f>IFERROR(VLOOKUP(Tabela2[[#This Row],[Campanha]],Campanhas!A:C,2,FALSE),"")</f>
        <v/>
      </c>
      <c r="N243" s="3"/>
    </row>
    <row r="244" spans="12:14">
      <c r="L244" s="3" t="str">
        <f>IFERROR(VLOOKUP(Tabela2[[#This Row],[Campanha]],Campanhas!A:C,3,FALSE),"")</f>
        <v/>
      </c>
      <c r="M244" s="3" t="str">
        <f>IFERROR(VLOOKUP(Tabela2[[#This Row],[Campanha]],Campanhas!A:C,2,FALSE),"")</f>
        <v/>
      </c>
      <c r="N244" s="3"/>
    </row>
    <row r="245" spans="12:14">
      <c r="L245" s="3" t="str">
        <f>IFERROR(VLOOKUP(Tabela2[[#This Row],[Campanha]],Campanhas!A:C,3,FALSE),"")</f>
        <v/>
      </c>
      <c r="M245" s="3" t="str">
        <f>IFERROR(VLOOKUP(Tabela2[[#This Row],[Campanha]],Campanhas!A:C,2,FALSE),"")</f>
        <v/>
      </c>
      <c r="N245" s="3"/>
    </row>
    <row r="246" spans="12:14">
      <c r="L246" s="3" t="str">
        <f>IFERROR(VLOOKUP(Tabela2[[#This Row],[Campanha]],Campanhas!A:C,3,FALSE),"")</f>
        <v/>
      </c>
      <c r="M246" s="3" t="str">
        <f>IFERROR(VLOOKUP(Tabela2[[#This Row],[Campanha]],Campanhas!A:C,2,FALSE),"")</f>
        <v/>
      </c>
      <c r="N246" s="3"/>
    </row>
    <row r="247" spans="12:14">
      <c r="L247" s="3" t="str">
        <f>IFERROR(VLOOKUP(Tabela2[[#This Row],[Campanha]],Campanhas!A:C,3,FALSE),"")</f>
        <v/>
      </c>
      <c r="M247" s="3" t="str">
        <f>IFERROR(VLOOKUP(Tabela2[[#This Row],[Campanha]],Campanhas!A:C,2,FALSE),"")</f>
        <v/>
      </c>
      <c r="N247" s="3"/>
    </row>
    <row r="248" spans="12:14">
      <c r="L248" s="3" t="str">
        <f>IFERROR(VLOOKUP(Tabela2[[#This Row],[Campanha]],Campanhas!A:C,3,FALSE),"")</f>
        <v/>
      </c>
      <c r="M248" s="3" t="str">
        <f>IFERROR(VLOOKUP(Tabela2[[#This Row],[Campanha]],Campanhas!A:C,2,FALSE),"")</f>
        <v/>
      </c>
      <c r="N248" s="3"/>
    </row>
    <row r="249" spans="12:14">
      <c r="L249" s="3" t="str">
        <f>IFERROR(VLOOKUP(Tabela2[[#This Row],[Campanha]],Campanhas!A:C,3,FALSE),"")</f>
        <v/>
      </c>
      <c r="M249" s="3" t="str">
        <f>IFERROR(VLOOKUP(Tabela2[[#This Row],[Campanha]],Campanhas!A:C,2,FALSE),"")</f>
        <v/>
      </c>
      <c r="N249" s="3"/>
    </row>
    <row r="250" spans="12:14">
      <c r="L250" s="3" t="str">
        <f>IFERROR(VLOOKUP(Tabela2[[#This Row],[Campanha]],Campanhas!A:C,3,FALSE),"")</f>
        <v/>
      </c>
      <c r="M250" s="3" t="str">
        <f>IFERROR(VLOOKUP(Tabela2[[#This Row],[Campanha]],Campanhas!A:C,2,FALSE),"")</f>
        <v/>
      </c>
      <c r="N250" s="3"/>
    </row>
    <row r="251" spans="12:14">
      <c r="L251" s="3" t="str">
        <f>IFERROR(VLOOKUP(Tabela2[[#This Row],[Campanha]],Campanhas!A:C,3,FALSE),"")</f>
        <v/>
      </c>
      <c r="M251" s="3" t="str">
        <f>IFERROR(VLOOKUP(Tabela2[[#This Row],[Campanha]],Campanhas!A:C,2,FALSE),"")</f>
        <v/>
      </c>
      <c r="N251" s="3"/>
    </row>
    <row r="252" spans="12:14">
      <c r="L252" s="3" t="str">
        <f>IFERROR(VLOOKUP(Tabela2[[#This Row],[Campanha]],Campanhas!A:C,3,FALSE),"")</f>
        <v/>
      </c>
      <c r="M252" s="3" t="str">
        <f>IFERROR(VLOOKUP(Tabela2[[#This Row],[Campanha]],Campanhas!A:C,2,FALSE),"")</f>
        <v/>
      </c>
      <c r="N252" s="3"/>
    </row>
    <row r="253" spans="12:14">
      <c r="L253" s="3" t="str">
        <f>IFERROR(VLOOKUP(Tabela2[[#This Row],[Campanha]],Campanhas!A:C,3,FALSE),"")</f>
        <v/>
      </c>
      <c r="M253" s="3" t="str">
        <f>IFERROR(VLOOKUP(Tabela2[[#This Row],[Campanha]],Campanhas!A:C,2,FALSE),"")</f>
        <v/>
      </c>
      <c r="N253" s="3"/>
    </row>
    <row r="254" spans="12:14">
      <c r="L254" s="3" t="str">
        <f>IFERROR(VLOOKUP(Tabela2[[#This Row],[Campanha]],Campanhas!A:C,3,FALSE),"")</f>
        <v/>
      </c>
      <c r="M254" s="3" t="str">
        <f>IFERROR(VLOOKUP(Tabela2[[#This Row],[Campanha]],Campanhas!A:C,2,FALSE),"")</f>
        <v/>
      </c>
      <c r="N254" s="3"/>
    </row>
    <row r="255" spans="12:14">
      <c r="L255" s="3" t="str">
        <f>IFERROR(VLOOKUP(Tabela2[[#This Row],[Campanha]],Campanhas!A:C,3,FALSE),"")</f>
        <v/>
      </c>
      <c r="M255" s="3" t="str">
        <f>IFERROR(VLOOKUP(Tabela2[[#This Row],[Campanha]],Campanhas!A:C,2,FALSE),"")</f>
        <v/>
      </c>
      <c r="N255" s="3"/>
    </row>
    <row r="256" spans="12:14">
      <c r="L256" s="3" t="str">
        <f>IFERROR(VLOOKUP(Tabela2[[#This Row],[Campanha]],Campanhas!A:C,3,FALSE),"")</f>
        <v/>
      </c>
      <c r="M256" s="3" t="str">
        <f>IFERROR(VLOOKUP(Tabela2[[#This Row],[Campanha]],Campanhas!A:C,2,FALSE),"")</f>
        <v/>
      </c>
      <c r="N256" s="3"/>
    </row>
    <row r="257" spans="12:14">
      <c r="L257" s="3" t="str">
        <f>IFERROR(VLOOKUP(Tabela2[[#This Row],[Campanha]],Campanhas!A:C,3,FALSE),"")</f>
        <v/>
      </c>
      <c r="M257" s="3" t="str">
        <f>IFERROR(VLOOKUP(Tabela2[[#This Row],[Campanha]],Campanhas!A:C,2,FALSE),"")</f>
        <v/>
      </c>
      <c r="N257" s="3"/>
    </row>
    <row r="258" spans="12:14">
      <c r="L258" s="3" t="str">
        <f>IFERROR(VLOOKUP(Tabela2[[#This Row],[Campanha]],Campanhas!A:C,3,FALSE),"")</f>
        <v/>
      </c>
      <c r="M258" s="3" t="str">
        <f>IFERROR(VLOOKUP(Tabela2[[#This Row],[Campanha]],Campanhas!A:C,2,FALSE),"")</f>
        <v/>
      </c>
      <c r="N258" s="3"/>
    </row>
    <row r="259" spans="12:14">
      <c r="L259" s="3" t="str">
        <f>IFERROR(VLOOKUP(Tabela2[[#This Row],[Campanha]],Campanhas!A:C,3,FALSE),"")</f>
        <v/>
      </c>
      <c r="M259" s="3" t="str">
        <f>IFERROR(VLOOKUP(Tabela2[[#This Row],[Campanha]],Campanhas!A:C,2,FALSE),"")</f>
        <v/>
      </c>
      <c r="N259" s="3"/>
    </row>
    <row r="260" spans="12:14">
      <c r="L260" s="3" t="str">
        <f>IFERROR(VLOOKUP(Tabela2[[#This Row],[Campanha]],Campanhas!A:C,3,FALSE),"")</f>
        <v/>
      </c>
      <c r="M260" s="3" t="str">
        <f>IFERROR(VLOOKUP(Tabela2[[#This Row],[Campanha]],Campanhas!A:C,2,FALSE),"")</f>
        <v/>
      </c>
      <c r="N260" s="3"/>
    </row>
    <row r="261" spans="12:14">
      <c r="L261" s="3" t="str">
        <f>IFERROR(VLOOKUP(Tabela2[[#This Row],[Campanha]],Campanhas!A:C,3,FALSE),"")</f>
        <v/>
      </c>
      <c r="M261" s="3" t="str">
        <f>IFERROR(VLOOKUP(Tabela2[[#This Row],[Campanha]],Campanhas!A:C,2,FALSE),"")</f>
        <v/>
      </c>
      <c r="N261" s="3"/>
    </row>
    <row r="262" spans="12:14">
      <c r="L262" s="3" t="str">
        <f>IFERROR(VLOOKUP(Tabela2[[#This Row],[Campanha]],Campanhas!A:C,3,FALSE),"")</f>
        <v/>
      </c>
      <c r="M262" s="3" t="str">
        <f>IFERROR(VLOOKUP(Tabela2[[#This Row],[Campanha]],Campanhas!A:C,2,FALSE),"")</f>
        <v/>
      </c>
      <c r="N262" s="3"/>
    </row>
    <row r="263" spans="12:14">
      <c r="L263" s="3" t="str">
        <f>IFERROR(VLOOKUP(Tabela2[[#This Row],[Campanha]],Campanhas!A:C,3,FALSE),"")</f>
        <v/>
      </c>
      <c r="M263" s="3" t="str">
        <f>IFERROR(VLOOKUP(Tabela2[[#This Row],[Campanha]],Campanhas!A:C,2,FALSE),"")</f>
        <v/>
      </c>
      <c r="N263" s="3"/>
    </row>
    <row r="264" spans="12:14">
      <c r="L264" s="3" t="str">
        <f>IFERROR(VLOOKUP(Tabela2[[#This Row],[Campanha]],Campanhas!A:C,3,FALSE),"")</f>
        <v/>
      </c>
      <c r="M264" s="3" t="str">
        <f>IFERROR(VLOOKUP(Tabela2[[#This Row],[Campanha]],Campanhas!A:C,2,FALSE),"")</f>
        <v/>
      </c>
      <c r="N264" s="3"/>
    </row>
    <row r="265" spans="12:14">
      <c r="L265" s="3" t="str">
        <f>IFERROR(VLOOKUP(Tabela2[[#This Row],[Campanha]],Campanhas!A:C,3,FALSE),"")</f>
        <v/>
      </c>
      <c r="M265" s="3" t="str">
        <f>IFERROR(VLOOKUP(Tabela2[[#This Row],[Campanha]],Campanhas!A:C,2,FALSE),"")</f>
        <v/>
      </c>
      <c r="N265" s="3"/>
    </row>
    <row r="266" spans="12:14">
      <c r="L266" s="3" t="str">
        <f>IFERROR(VLOOKUP(Tabela2[[#This Row],[Campanha]],Campanhas!A:C,3,FALSE),"")</f>
        <v/>
      </c>
      <c r="M266" s="3" t="str">
        <f>IFERROR(VLOOKUP(Tabela2[[#This Row],[Campanha]],Campanhas!A:C,2,FALSE),"")</f>
        <v/>
      </c>
      <c r="N266" s="3"/>
    </row>
    <row r="267" spans="12:14">
      <c r="L267" s="3" t="str">
        <f>IFERROR(VLOOKUP(Tabela2[[#This Row],[Campanha]],Campanhas!A:C,3,FALSE),"")</f>
        <v/>
      </c>
      <c r="M267" s="3" t="str">
        <f>IFERROR(VLOOKUP(Tabela2[[#This Row],[Campanha]],Campanhas!A:C,2,FALSE),"")</f>
        <v/>
      </c>
      <c r="N267" s="3"/>
    </row>
    <row r="268" spans="12:14">
      <c r="L268" s="3" t="str">
        <f>IFERROR(VLOOKUP(Tabela2[[#This Row],[Campanha]],Campanhas!A:C,3,FALSE),"")</f>
        <v/>
      </c>
      <c r="M268" s="3" t="str">
        <f>IFERROR(VLOOKUP(Tabela2[[#This Row],[Campanha]],Campanhas!A:C,2,FALSE),"")</f>
        <v/>
      </c>
      <c r="N268" s="3"/>
    </row>
    <row r="269" spans="12:14">
      <c r="L269" s="3" t="str">
        <f>IFERROR(VLOOKUP(Tabela2[[#This Row],[Campanha]],Campanhas!A:C,3,FALSE),"")</f>
        <v/>
      </c>
      <c r="M269" s="3" t="str">
        <f>IFERROR(VLOOKUP(Tabela2[[#This Row],[Campanha]],Campanhas!A:C,2,FALSE),"")</f>
        <v/>
      </c>
      <c r="N269" s="3"/>
    </row>
    <row r="270" spans="12:14">
      <c r="L270" s="3" t="str">
        <f>IFERROR(VLOOKUP(Tabela2[[#This Row],[Campanha]],Campanhas!A:C,3,FALSE),"")</f>
        <v/>
      </c>
      <c r="M270" s="3" t="str">
        <f>IFERROR(VLOOKUP(Tabela2[[#This Row],[Campanha]],Campanhas!A:C,2,FALSE),"")</f>
        <v/>
      </c>
      <c r="N270" s="3"/>
    </row>
    <row r="271" spans="12:14">
      <c r="L271" s="3" t="str">
        <f>IFERROR(VLOOKUP(Tabela2[[#This Row],[Campanha]],Campanhas!A:C,3,FALSE),"")</f>
        <v/>
      </c>
      <c r="M271" s="3" t="str">
        <f>IFERROR(VLOOKUP(Tabela2[[#This Row],[Campanha]],Campanhas!A:C,2,FALSE),"")</f>
        <v/>
      </c>
      <c r="N271" s="3"/>
    </row>
    <row r="272" spans="12:14">
      <c r="L272" s="3" t="str">
        <f>IFERROR(VLOOKUP(Tabela2[[#This Row],[Campanha]],Campanhas!A:C,3,FALSE),"")</f>
        <v/>
      </c>
      <c r="M272" s="3" t="str">
        <f>IFERROR(VLOOKUP(Tabela2[[#This Row],[Campanha]],Campanhas!A:C,2,FALSE),"")</f>
        <v/>
      </c>
      <c r="N272" s="3"/>
    </row>
    <row r="273" spans="8:14">
      <c r="L273" s="3" t="str">
        <f>IFERROR(VLOOKUP(Tabela2[[#This Row],[Campanha]],Campanhas!A:C,3,FALSE),"")</f>
        <v/>
      </c>
      <c r="M273" s="3" t="str">
        <f>IFERROR(VLOOKUP(Tabela2[[#This Row],[Campanha]],Campanhas!A:C,2,FALSE),"")</f>
        <v/>
      </c>
      <c r="N273" s="3"/>
    </row>
    <row r="274" spans="8:14">
      <c r="L274" s="3" t="str">
        <f>IFERROR(VLOOKUP(Tabela2[[#This Row],[Campanha]],Campanhas!A:C,3,FALSE),"")</f>
        <v/>
      </c>
      <c r="M274" s="3" t="str">
        <f>IFERROR(VLOOKUP(Tabela2[[#This Row],[Campanha]],Campanhas!A:C,2,FALSE),"")</f>
        <v/>
      </c>
      <c r="N274" s="3"/>
    </row>
    <row r="275" spans="8:14">
      <c r="L275" s="3" t="str">
        <f>IFERROR(VLOOKUP(Tabela2[[#This Row],[Campanha]],Campanhas!A:C,3,FALSE),"")</f>
        <v/>
      </c>
      <c r="M275" s="3" t="str">
        <f>IFERROR(VLOOKUP(Tabela2[[#This Row],[Campanha]],Campanhas!A:C,2,FALSE),"")</f>
        <v/>
      </c>
      <c r="N275" s="3"/>
    </row>
    <row r="276" spans="8:14">
      <c r="L276" s="3" t="str">
        <f>IFERROR(VLOOKUP(Tabela2[[#This Row],[Campanha]],Campanhas!A:C,3,FALSE),"")</f>
        <v/>
      </c>
      <c r="M276" s="3" t="str">
        <f>IFERROR(VLOOKUP(Tabela2[[#This Row],[Campanha]],Campanhas!A:C,2,FALSE),"")</f>
        <v/>
      </c>
      <c r="N276" s="3"/>
    </row>
    <row r="277" spans="8:14">
      <c r="L277" s="3" t="str">
        <f>IFERROR(VLOOKUP(Tabela2[[#This Row],[Campanha]],Campanhas!A:C,3,FALSE),"")</f>
        <v/>
      </c>
      <c r="M277" s="3" t="str">
        <f>IFERROR(VLOOKUP(Tabela2[[#This Row],[Campanha]],Campanhas!A:C,2,FALSE),"")</f>
        <v/>
      </c>
      <c r="N277" s="3"/>
    </row>
    <row r="278" spans="8:14">
      <c r="L278" s="3" t="str">
        <f>IFERROR(VLOOKUP(Tabela2[[#This Row],[Campanha]],Campanhas!A:C,3,FALSE),"")</f>
        <v/>
      </c>
      <c r="M278" s="3" t="str">
        <f>IFERROR(VLOOKUP(Tabela2[[#This Row],[Campanha]],Campanhas!A:C,2,FALSE),"")</f>
        <v/>
      </c>
      <c r="N278" s="3"/>
    </row>
    <row r="279" spans="8:14">
      <c r="L279" s="3" t="str">
        <f>IFERROR(VLOOKUP(Tabela2[[#This Row],[Campanha]],Campanhas!A:C,3,FALSE),"")</f>
        <v/>
      </c>
      <c r="M279" s="3" t="str">
        <f>IFERROR(VLOOKUP(Tabela2[[#This Row],[Campanha]],Campanhas!A:C,2,FALSE),"")</f>
        <v/>
      </c>
      <c r="N279" s="3"/>
    </row>
    <row r="280" spans="8:14">
      <c r="L280" s="3" t="str">
        <f>IFERROR(VLOOKUP(Tabela2[[#This Row],[Campanha]],Campanhas!A:C,3,FALSE),"")</f>
        <v/>
      </c>
      <c r="M280" s="3" t="str">
        <f>IFERROR(VLOOKUP(Tabela2[[#This Row],[Campanha]],Campanhas!A:C,2,FALSE),"")</f>
        <v/>
      </c>
      <c r="N280" s="3"/>
    </row>
    <row r="281" spans="8:14">
      <c r="L281" s="3" t="str">
        <f>IFERROR(VLOOKUP(Tabela2[[#This Row],[Campanha]],Campanhas!A:C,3,FALSE),"")</f>
        <v/>
      </c>
      <c r="M281" s="3" t="str">
        <f>IFERROR(VLOOKUP(Tabela2[[#This Row],[Campanha]],Campanhas!A:C,2,FALSE),"")</f>
        <v/>
      </c>
      <c r="N281" s="3"/>
    </row>
    <row r="282" spans="8:14">
      <c r="L282" s="3" t="str">
        <f>IFERROR(VLOOKUP(Tabela2[[#This Row],[Campanha]],Campanhas!A:C,3,FALSE),"")</f>
        <v/>
      </c>
      <c r="M282" s="3" t="str">
        <f>IFERROR(VLOOKUP(Tabela2[[#This Row],[Campanha]],Campanhas!A:C,2,FALSE),"")</f>
        <v/>
      </c>
      <c r="N282" s="3"/>
    </row>
    <row r="283" spans="8:14">
      <c r="L283" s="3" t="str">
        <f>IFERROR(VLOOKUP(Tabela2[[#This Row],[Campanha]],Campanhas!A:C,3,FALSE),"")</f>
        <v/>
      </c>
      <c r="M283" s="3" t="str">
        <f>IFERROR(VLOOKUP(Tabela2[[#This Row],[Campanha]],Campanhas!A:C,2,FALSE),"")</f>
        <v/>
      </c>
      <c r="N283" s="3"/>
    </row>
    <row r="284" spans="8:14">
      <c r="L284" s="3" t="str">
        <f>IFERROR(VLOOKUP(Tabela2[[#This Row],[Campanha]],Campanhas!A:C,3,FALSE),"")</f>
        <v/>
      </c>
      <c r="M284" s="3" t="str">
        <f>IFERROR(VLOOKUP(Tabela2[[#This Row],[Campanha]],Campanhas!A:C,2,FALSE),"")</f>
        <v/>
      </c>
      <c r="N284" s="3"/>
    </row>
    <row r="285" spans="8:14">
      <c r="L285" s="3" t="str">
        <f>IFERROR(VLOOKUP(Tabela2[[#This Row],[Campanha]],Campanhas!A:C,3,FALSE),"")</f>
        <v/>
      </c>
      <c r="M285" s="3" t="str">
        <f>IFERROR(VLOOKUP(Tabela2[[#This Row],[Campanha]],Campanhas!A:C,2,FALSE),"")</f>
        <v/>
      </c>
      <c r="N285" s="3"/>
    </row>
    <row r="286" spans="8:14">
      <c r="L286" s="3" t="str">
        <f>IFERROR(VLOOKUP(Tabela2[[#This Row],[Campanha]],Campanhas!A:C,3,FALSE),"")</f>
        <v/>
      </c>
      <c r="M286" s="3" t="str">
        <f>IFERROR(VLOOKUP(Tabela2[[#This Row],[Campanha]],Campanhas!A:C,2,FALSE),"")</f>
        <v/>
      </c>
      <c r="N286" s="3"/>
    </row>
    <row r="287" spans="8:14">
      <c r="L287" s="3" t="str">
        <f>IFERROR(VLOOKUP(Tabela2[[#This Row],[Campanha]],Campanhas!A:C,3,FALSE),"")</f>
        <v/>
      </c>
      <c r="M287" s="3" t="str">
        <f>IFERROR(VLOOKUP(Tabela2[[#This Row],[Campanha]],Campanhas!A:C,2,FALSE),"")</f>
        <v/>
      </c>
      <c r="N287" s="3"/>
    </row>
    <row r="288" spans="8:14">
      <c r="H288" s="47"/>
      <c r="L288" s="3" t="str">
        <f>IFERROR(VLOOKUP(Tabela2[[#This Row],[Campanha]],Campanhas!A:C,3,FALSE),"")</f>
        <v/>
      </c>
      <c r="M288" s="3" t="str">
        <f>IFERROR(VLOOKUP(Tabela2[[#This Row],[Campanha]],Campanhas!A:C,2,FALSE),"")</f>
        <v/>
      </c>
      <c r="N288" s="3"/>
    </row>
    <row r="289" spans="8:14">
      <c r="H289" s="47"/>
      <c r="L289" s="3" t="str">
        <f>IFERROR(VLOOKUP(Tabela2[[#This Row],[Campanha]],Campanhas!A:C,3,FALSE),"")</f>
        <v/>
      </c>
      <c r="M289" s="3" t="str">
        <f>IFERROR(VLOOKUP(Tabela2[[#This Row],[Campanha]],Campanhas!A:C,2,FALSE),"")</f>
        <v/>
      </c>
      <c r="N289" s="3"/>
    </row>
    <row r="290" spans="8:14">
      <c r="H290" s="47"/>
      <c r="L290" s="3" t="str">
        <f>IFERROR(VLOOKUP(Tabela2[[#This Row],[Campanha]],Campanhas!A:C,3,FALSE),"")</f>
        <v/>
      </c>
      <c r="M290" s="3" t="str">
        <f>IFERROR(VLOOKUP(Tabela2[[#This Row],[Campanha]],Campanhas!A:C,2,FALSE),"")</f>
        <v/>
      </c>
      <c r="N290" s="3"/>
    </row>
    <row r="291" spans="8:14">
      <c r="H291" s="47"/>
      <c r="L291" s="3" t="str">
        <f>IFERROR(VLOOKUP(Tabela2[[#This Row],[Campanha]],Campanhas!A:C,3,FALSE),"")</f>
        <v/>
      </c>
      <c r="M291" s="3" t="str">
        <f>IFERROR(VLOOKUP(Tabela2[[#This Row],[Campanha]],Campanhas!A:C,2,FALSE),"")</f>
        <v/>
      </c>
      <c r="N291" s="3"/>
    </row>
    <row r="292" spans="8:14">
      <c r="H292" s="47"/>
      <c r="L292" s="3" t="str">
        <f>IFERROR(VLOOKUP(Tabela2[[#This Row],[Campanha]],Campanhas!A:C,3,FALSE),"")</f>
        <v/>
      </c>
      <c r="M292" s="3" t="str">
        <f>IFERROR(VLOOKUP(Tabela2[[#This Row],[Campanha]],Campanhas!A:C,2,FALSE),"")</f>
        <v/>
      </c>
      <c r="N292" s="3"/>
    </row>
    <row r="293" spans="8:14">
      <c r="H293" s="47"/>
      <c r="L293" s="3" t="str">
        <f>IFERROR(VLOOKUP(Tabela2[[#This Row],[Campanha]],Campanhas!A:C,3,FALSE),"")</f>
        <v/>
      </c>
      <c r="M293" s="3" t="str">
        <f>IFERROR(VLOOKUP(Tabela2[[#This Row],[Campanha]],Campanhas!A:C,2,FALSE),"")</f>
        <v/>
      </c>
      <c r="N293" s="3"/>
    </row>
    <row r="294" spans="8:14">
      <c r="H294" s="47"/>
      <c r="L294" s="3" t="str">
        <f>IFERROR(VLOOKUP(Tabela2[[#This Row],[Campanha]],Campanhas!A:C,3,FALSE),"")</f>
        <v/>
      </c>
      <c r="M294" s="3" t="str">
        <f>IFERROR(VLOOKUP(Tabela2[[#This Row],[Campanha]],Campanhas!A:C,2,FALSE),"")</f>
        <v/>
      </c>
      <c r="N294" s="3"/>
    </row>
  </sheetData>
  <dataValidations count="4">
    <dataValidation type="list" allowBlank="1" showInputMessage="1" showErrorMessage="1" errorTitle="Produto Financeiro Incorreto" error="Produto financeiro deve ser &quot;Syde&quot;, &quot;Fiso&quot; ou &quot;Syngenta&quot;." sqref="B2:B1048576" xr:uid="{74F73816-9882-3347-9103-0FDA633C296D}">
      <formula1>"Syde,Fiso,Syngenta"</formula1>
    </dataValidation>
    <dataValidation type="list" allowBlank="1" showInputMessage="1" showErrorMessage="1" errorTitle="Moeda Inválida" error="Moeda deve ser &quot;Real&quot; ou &quot;Dolar&quot;. _x000a_Selecione nas opções disponíveis na celula" sqref="D2:D1048576" xr:uid="{4E8B25C4-F6DC-2044-99D6-B3D207ABC943}">
      <formula1>"Real,Dolar"</formula1>
    </dataValidation>
    <dataValidation type="list" allowBlank="1" showInputMessage="1" showErrorMessage="1" errorTitle="Informação Incorreta" error="Campo deve ser preenchido com &quot;Uteis&quot; ou Corridos. _x000a__x000a_Selecione o valor nas opções disponíveis na celula" sqref="E2:E1048576" xr:uid="{5D917F3F-CE0E-1A4E-A374-64FF67B6EE00}">
      <formula1>"Uteis,Corridos"</formula1>
    </dataValidation>
    <dataValidation type="list" allowBlank="1" showInputMessage="1" showErrorMessage="1" sqref="F1:F1048576" xr:uid="{837034FC-8476-6749-A534-1E2C5884456C}">
      <formula1>"Simples,Composto"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Campanha Inválida" error="Campanha informada deve estar cadastrada na aba &quot;Campanhas&quot; desta planilha" xr:uid="{0969DE04-4AB7-9F4B-9E08-7D7E6F62DD9A}">
          <x14:formula1>
            <xm:f>Campanhas!$A$2:$A$304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5311-9B19-4B69-AC95-81B4294FDE02}">
  <dimension ref="A2:G42"/>
  <sheetViews>
    <sheetView tabSelected="1" workbookViewId="0">
      <selection activeCell="D3" sqref="D3"/>
    </sheetView>
  </sheetViews>
  <sheetFormatPr defaultColWidth="8.85546875" defaultRowHeight="14.45"/>
  <cols>
    <col min="1" max="1" width="37.5703125" bestFit="1" customWidth="1"/>
    <col min="2" max="2" width="28" bestFit="1" customWidth="1"/>
    <col min="3" max="3" width="7.28515625" customWidth="1"/>
    <col min="4" max="4" width="32" bestFit="1" customWidth="1"/>
    <col min="5" max="5" width="5.85546875" customWidth="1"/>
    <col min="6" max="6" width="37.28515625" customWidth="1"/>
  </cols>
  <sheetData>
    <row r="2" spans="1:6" ht="30.95">
      <c r="B2" s="21" t="s">
        <v>51</v>
      </c>
      <c r="C2" s="22"/>
      <c r="D2" s="21" t="s">
        <v>52</v>
      </c>
      <c r="E2" s="22"/>
      <c r="F2" s="21" t="s">
        <v>53</v>
      </c>
    </row>
    <row r="3" spans="1:6" ht="23.45">
      <c r="B3" s="12" t="s">
        <v>3</v>
      </c>
      <c r="D3" s="20" t="s">
        <v>39</v>
      </c>
      <c r="F3" s="12" t="s">
        <v>40</v>
      </c>
    </row>
    <row r="7" spans="1:6" ht="30.95">
      <c r="B7" s="24" t="s">
        <v>54</v>
      </c>
      <c r="C7" s="22"/>
      <c r="D7" s="24" t="s">
        <v>55</v>
      </c>
      <c r="E7" s="22"/>
      <c r="F7" s="21" t="s">
        <v>56</v>
      </c>
    </row>
    <row r="8" spans="1:6" ht="23.45">
      <c r="B8" s="14" cm="1">
        <f t="array" ref="B8">_xlfn.LET(
_xlpm.camp,$B$3,
_xlpm.prod,$D$3,
_xlpm.moeda,$F$3,
_xlpm.filtro,(Tabela2[Campanha]=_xlpm.camp)*
       (Tabela2[Moeda]=_xlpm.moeda)*
       (Tabela2[Produto Agrícola]=IF(_xlpm.prod="","",_xlpm.prod)),
IFERROR(
  INDEX(_xlfn._xlws.FILTER(Tabela2[Desembolso CAMPANHA],_xlpm.filtro,""),1),
  ""
)
)</f>
        <v>46357</v>
      </c>
      <c r="C8" s="1"/>
      <c r="D8" s="13" cm="1">
        <f t="array" ref="D8">_xlfn.LET(
_xlpm.camp,$B$3,
_xlpm.prod,$D$3,
_xlpm.moeda,$F$3,
_xlpm.filtro,(Tabela2[Campanha]=_xlpm.camp)*
       (Tabela2[Moeda]=_xlpm.moeda)*
       (Tabela2[Produto Agrícola]=IF(_xlpm.prod="","",_xlpm.prod)),
IFERROR(
  INDEX(_xlfn._xlws.FILTER(Tabela2[Vencimento/Pagto CAMPANHA],_xlpm.filtro,""),1),
  ""
)
)</f>
        <v>46512</v>
      </c>
      <c r="F8" s="26">
        <v>100</v>
      </c>
    </row>
    <row r="13" spans="1:6" s="18" customFormat="1" ht="33.950000000000003">
      <c r="A13" s="23" t="s">
        <v>57</v>
      </c>
      <c r="B13" s="18">
        <f>_xlfn.LET(
_xlpm.camp,$B$3,
_xlpm.prod,$D$3,
_xlpm.moeda,$F$3,
COUNTIFS(
Tabela2[Campanha],_xlpm.camp,
Tabela2[Moeda],_xlpm.moeda,
Tabela2[Produto Financeiro],"Syde",
Tabela2[Produto Agrícola],IF(_xlpm.prod="","",_xlpm.prod)
)
)</f>
        <v>2</v>
      </c>
      <c r="D13" s="18">
        <f>_xlfn.LET(
_xlpm.camp,$B$3,
_xlpm.prod,$D$3,
_xlpm.moeda,$F$3,
COUNTIFS(
Tabela2[Campanha],_xlpm.camp,
Tabela2[Moeda],_xlpm.moeda,
Tabela2[Produto Financeiro],"Fiso",
Tabela2[Produto Agrícola],IF(_xlpm.prod="","",_xlpm.prod)
)
)</f>
        <v>2</v>
      </c>
      <c r="F13" s="18">
        <f>_xlfn.LET(
_xlpm.camp,$B$3,
_xlpm.prod,$D$3,
_xlpm.moeda,$F$3,
COUNTIFS(
Tabela2[Campanha],_xlpm.camp,
Tabela2[Moeda],_xlpm.moeda,
Tabela2[Produto Financeiro],"Syngenta",
Tabela2[Produto Agrícola],IF(_xlpm.prod="","",_xlpm.prod)
)
)</f>
        <v>2</v>
      </c>
    </row>
    <row r="14" spans="1:6" ht="47.45">
      <c r="B14" s="15" t="s">
        <v>58</v>
      </c>
      <c r="C14" s="16"/>
      <c r="D14" s="15" t="s">
        <v>59</v>
      </c>
      <c r="E14" s="16"/>
      <c r="F14" s="15" t="s">
        <v>60</v>
      </c>
    </row>
    <row r="16" spans="1:6">
      <c r="A16" s="33" t="s">
        <v>56</v>
      </c>
      <c r="B16" s="54">
        <f>F8</f>
        <v>100</v>
      </c>
      <c r="C16" s="55"/>
      <c r="D16" s="54">
        <f>F8</f>
        <v>100</v>
      </c>
      <c r="E16" s="53"/>
      <c r="F16" s="54">
        <f>F8</f>
        <v>100</v>
      </c>
    </row>
    <row r="17" spans="1:7">
      <c r="A17" s="22" t="s">
        <v>61</v>
      </c>
      <c r="B17" s="19" cm="1">
        <f t="array" ref="B17">_xlfn.LET(
_xlpm.camp,$B$3,
_xlpm.prod,$D$3,
_xlpm.moeda,$F$3,
_xlpm.filtro,(Tabela2[Campanha]=_xlpm.camp)*
       (Tabela2[Moeda]=_xlpm.moeda)*
       (Tabela2[Produto Agrícola]=IF(_xlpm.prod="","",_xlpm.prod))*
       (Tabela2[Produto Financeiro]="Syde"),
IFERROR(
  INDEX(_xlfn._xlws.FILTER(Tabela2[Desconto Comercial (VPAN)],_xlpm.filtro,""),1),
  0
)
)</f>
        <v>0.04</v>
      </c>
      <c r="C17" s="50"/>
      <c r="D17" s="19" cm="1">
        <f t="array" ref="D17">_xlfn.LET(
_xlpm.camp,$B$3,
_xlpm.prod,$D$3,
_xlpm.moeda,$F$3,
_xlpm.filtro,(Tabela2[Campanha]=_xlpm.camp)*
       (Tabela2[Moeda]=_xlpm.moeda)*
       (Tabela2[Produto Agrícola]=IF(_xlpm.prod="","",_xlpm.prod))*
       (Tabela2[Produto Financeiro]="Fiso"),
IFERROR(
  INDEX(_xlfn._xlws.FILTER(Tabela2[Desconto Comercial (VPAN)],_xlpm.filtro,""),1),
  0
)
)</f>
        <v>0</v>
      </c>
      <c r="E17" s="19"/>
      <c r="F17" s="19" cm="1">
        <f t="array" ref="F17">_xlfn.LET(
_xlpm.camp,$B$3,
_xlpm.prod,$D$3,
_xlpm.moeda,$F$3,
_xlpm.filtro,(Tabela2[Campanha]=_xlpm.camp)*
       (Tabela2[Moeda]=_xlpm.moeda)*
       (Tabela2[Produto Agrícola]=IF(_xlpm.prod="","",_xlpm.prod))*
       (Tabela2[Produto Financeiro]="Syngenta"),
IFERROR(
  INDEX(_xlfn._xlws.FILTER(Tabela2[Desconto Comercial (VPAN)],_xlpm.filtro,""),1),
  0
)
)</f>
        <v>0</v>
      </c>
    </row>
    <row r="18" spans="1:7">
      <c r="A18" s="22" t="s">
        <v>62</v>
      </c>
      <c r="B18" s="19" cm="1">
        <f t="array" ref="B18">_xlfn.LET(
_xlpm.camp,$B$3,
_xlpm.prod,$D$3,
_xlpm.moeda,$F$3,
_xlpm.filtro,(Tabela2[Campanha]=_xlpm.camp)*
       (Tabela2[Moeda]=_xlpm.moeda)*
       (Tabela2[Produto Agrícola]=IF(_xlpm.prod="","",_xlpm.prod))*
       (Tabela2[Produto Financeiro]="Syde"),
IFERROR(INDEX(_xlfn._xlws.FILTER(Tabela2[Taxa (a.m.)],_xlpm.filtro,""),1),0)
)</f>
        <v>1.8499999999999999E-2</v>
      </c>
      <c r="C18" s="17"/>
      <c r="D18" s="19" cm="1">
        <f t="array" ref="D18">_xlfn.LET(
_xlpm.camp,$B$3,
_xlpm.prod,$D$3,
_xlpm.moeda,$F$3,
_xlpm.filtro,(Tabela2[Campanha]=_xlpm.camp)*
       (Tabela2[Moeda]=_xlpm.moeda)*
       (Tabela2[Produto Agrícola]=IF(_xlpm.prod="","",_xlpm.prod))*
       (Tabela2[Produto Financeiro]="Fiso"),
IFERROR(INDEX(_xlfn._xlws.FILTER(Tabela2[Taxa (a.m.)],_xlpm.filtro,""),1),0)
)</f>
        <v>1.8499999999999999E-2</v>
      </c>
      <c r="F18" s="19" cm="1">
        <f t="array" ref="F18">_xlfn.LET(
_xlpm.camp,$B$3,
_xlpm.prod,$D$3,
_xlpm.moeda,$F$3,
_xlpm.filtro,(Tabela2[Campanha]=_xlpm.camp)*
       (Tabela2[Moeda]=_xlpm.moeda)*
       (Tabela2[Produto Agrícola]=IF(_xlpm.prod="","",_xlpm.prod))*
       (Tabela2[Produto Financeiro]="Syngenta"),
IFERROR(INDEX(_xlfn._xlws.FILTER(Tabela2[Taxa (a.m.)],_xlpm.filtro,""),1),0)
)</f>
        <v>1.8499999999999999E-2</v>
      </c>
    </row>
    <row r="19" spans="1:7" s="25" customFormat="1">
      <c r="A19" s="53" t="s">
        <v>63</v>
      </c>
      <c r="B19" s="25" cm="1">
        <f t="array" ref="B19">_xlfn.LET(
_xlpm.pv,N($B$16),
_xlpm.desc,N($B$17),
_xlpm.taxa,N($B$18),
_xlpm.tipo,$B$21,
_xlpm.periodo,$B$22,
_xlpm.n,IF(UPPER(_xlpm.periodo)="UTEIS",N($B$26),N($B$24)),
_xlpm.vf,_xlpm.pv*(1-_xlpm.desc),
_xlpm.vf + IF(UPPER(_xlpm.tipo)="SIMPLES",_xlpm.vf*_xlpm.taxa*_xlpm.n,_xlpm.vf*((1+_xlpm.taxa)^_xlpm.n-1))
)</f>
        <v>104.77726888120108</v>
      </c>
      <c r="D19" s="25">
        <f>_xlfn.LET(
_xlpm.pv,N($D$16),
_xlpm.desc,N($D$17),
_xlpm.taxa,N($D$18),
_xlpm.tipo,D$21,
_xlpm.periodo,$D$22,
_xlpm.n,IF(UPPER(_xlpm.periodo)="UTEIS",N($D$26),N($D$24)),
_xlpm.vf,_xlpm.pv*(1-_xlpm.desc),
_xlpm.vf + IF(UPPER(_xlpm.tipo)="SIMPLES",_xlpm.vf*_xlpm.taxa*_xlpm.n,_xlpm.vf*((1+_xlpm.taxa)^_xlpm.n-1))
)</f>
        <v>109.55833333333334</v>
      </c>
      <c r="F19" s="25" cm="1">
        <f t="array" ref="F19">_xlfn.LET(
_xlpm.pv,N($F$16),
_xlpm.desc,N($F$17),
_xlpm.taxa,N($F$18),
_xlpm.tipo,F$21,
_xlpm.periodo,$F$22,
_xlpm.n,IF(UPPER(_xlpm.periodo)="UTEIS",N($F$26),N($F$24)),
_xlpm.vf,_xlpm.pv*(1-_xlpm.desc),
_xlpm.vf + IF(UPPER(_xlpm.tipo)="SIMPLES",_xlpm.vf*_xlpm.taxa*_xlpm.n,_xlpm.vf*((1+_xlpm.taxa)^_xlpm.n-1))
)</f>
        <v>109.55833333333334</v>
      </c>
    </row>
    <row r="20" spans="1:7">
      <c r="A20" s="22" t="s">
        <v>32</v>
      </c>
      <c r="B20" s="19" cm="1">
        <f t="array" ref="B20">_xlfn.LET(
_xlpm.camp,$B$3,
_xlpm.prod,$D$3,
_xlpm.moeda,$F$3,
_xlpm.filtro,(Tabela2[Campanha]=_xlpm.camp)*
       (Tabela2[Moeda]=_xlpm.moeda)*
       (Tabela2[Produto Agrícola]=IF(_xlpm.prod="","",_xlpm.prod))*
       (Tabela2[Produto Financeiro]="Syde"),
IFERROR(INDEX(_xlfn._xlws.FILTER(Tabela2[Incentivo],_xlpm.filtro,""),1),0)
)</f>
        <v>0</v>
      </c>
      <c r="D20" s="19" cm="1">
        <f t="array" ref="D20">_xlfn.LET(
_xlpm.camp,$B$3,
_xlpm.prod,$D$3,
_xlpm.moeda,$F$3,
_xlpm.filtro,(Tabela2[Campanha]=_xlpm.camp)*
       (Tabela2[Moeda]=_xlpm.moeda)*
       (Tabela2[Produto Agrícola]=IF(_xlpm.prod="","",_xlpm.prod))*
       (Tabela2[Produto Financeiro]="Fiso"),
IFERROR(INDEX(_xlfn._xlws.FILTER(Tabela2[Incentivo],_xlpm.filtro,""),1),0)
)</f>
        <v>0.03</v>
      </c>
      <c r="F20" s="19" cm="1">
        <f t="array" ref="F20">_xlfn.LET(
_xlpm.camp,$B$3,
_xlpm.prod,$D$3,
_xlpm.moeda,$F$3,
_xlpm.filtro,(Tabela2[Campanha]=_xlpm.camp)*
       (Tabela2[Moeda]=_xlpm.moeda)*
       (Tabela2[Produto Agrícola]=IF(_xlpm.prod="","",_xlpm.prod))*
       (Tabela2[Produto Financeiro]="Syngenta"),
IFERROR(INDEX(_xlfn._xlws.FILTER(Tabela2[Incentivo],_xlpm.filtro,""),1),0)
)</f>
        <v>0</v>
      </c>
    </row>
    <row r="21" spans="1:7">
      <c r="A21" s="22" t="s">
        <v>64</v>
      </c>
      <c r="B21" t="str" cm="1">
        <f t="array" ref="B21">_xlfn.LET(
_xlpm.camp,$B$3,
_xlpm.prod,$D$3,
_xlpm.moeda,$F$3,
_xlpm.filtro,(Tabela2[Campanha]=_xlpm.camp)*
       (Tabela2[Moeda]=_xlpm.moeda)*
       (Tabela2[Produto Agrícola]=IF(_xlpm.prod="","",_xlpm.prod))*
       (Tabela2[Produto Financeiro]="Syde"),
IFERROR(INDEX(_xlfn._xlws.FILTER(Tabela2[Tipo Juros],_xlpm.filtro,""),1),"")
)</f>
        <v>Composto</v>
      </c>
      <c r="D21" t="str" cm="1">
        <f t="array" ref="D21">_xlfn.LET(
_xlpm.camp,$B$3,
_xlpm.prod,$D$3,
_xlpm.moeda,$F$3,
_xlpm.filtro,(Tabela2[Campanha]=_xlpm.camp)*
       (Tabela2[Moeda]=_xlpm.moeda)*
       (Tabela2[Produto Agrícola]=IF(_xlpm.prod="","",_xlpm.prod))*
       (Tabela2[Produto Financeiro]="Fiso"),
IFERROR(INDEX(_xlfn._xlws.FILTER(Tabela2[Tipo Juros],_xlpm.filtro,""),1),"")
)</f>
        <v>Simples</v>
      </c>
      <c r="F21" t="str" cm="1">
        <f t="array" ref="F21">_xlfn.LET(
_xlpm.camp,$B$3,
_xlpm.prod,$D$3,
_xlpm.moeda,$F$3,
_xlpm.filtro,(Tabela2[Campanha]=_xlpm.camp)*
       (Tabela2[Moeda]=_xlpm.moeda)*
       (Tabela2[Produto Agrícola]=IF(_xlpm.prod="","",_xlpm.prod))*
       (Tabela2[Produto Financeiro]="Syngenta"),
IFERROR(INDEX(_xlfn._xlws.FILTER(Tabela2[Tipo Juros],_xlpm.filtro,""),1),"")
)</f>
        <v>Simples</v>
      </c>
    </row>
    <row r="22" spans="1:7">
      <c r="A22" s="22" t="s">
        <v>65</v>
      </c>
      <c r="B22" t="str" cm="1">
        <f t="array" ref="B22">_xlfn.LET(
_xlpm.camp,$B$3,
_xlpm.prod,$D$3,
_xlpm.moeda,$F$3,
_xlpm.filtro,(Tabela2[Campanha]=_xlpm.camp)*
       (Tabela2[Moeda]=_xlpm.moeda)*
       (Tabela2[Produto Agrícola]=IF(_xlpm.prod="","",_xlpm.prod))*
       (Tabela2[Produto Financeiro]="Syde"),
IFERROR(INDEX(_xlfn._xlws.FILTER(Tabela2[Cálculo Período],_xlpm.filtro,""),1),"")
)</f>
        <v>Uteis</v>
      </c>
      <c r="D22" t="str" cm="1">
        <f t="array" ref="D22">_xlfn.LET(
_xlpm.camp,$B$3,
_xlpm.prod,$D$3,
_xlpm.moeda,$F$3,
_xlpm.filtro,(Tabela2[Campanha]=_xlpm.camp)*
       (Tabela2[Moeda]=_xlpm.moeda)*
       (Tabela2[Produto Agrícola]=IF(_xlpm.prod="","",_xlpm.prod))*
       (Tabela2[Produto Financeiro]="Fiso"),
IFERROR(INDEX(_xlfn._xlws.FILTER(Tabela2[Cálculo Período],_xlpm.filtro,""),1),"")
)</f>
        <v>Corridos</v>
      </c>
      <c r="F22" t="str" cm="1">
        <f t="array" ref="F22">_xlfn.LET(
_xlpm.camp,$B$3,
_xlpm.prod,$D$3,
_xlpm.moeda,$F$3,
_xlpm.filtro,(Tabela2[Campanha]=_xlpm.camp)*
       (Tabela2[Moeda]=_xlpm.moeda)*
       (Tabela2[Produto Agrícola]=IF(_xlpm.prod="","",_xlpm.prod))*
       (Tabela2[Produto Financeiro]="Syngenta"),
IFERROR(INDEX(_xlfn._xlws.FILTER(Tabela2[Cálculo Período],_xlpm.filtro,""),1),"")
)</f>
        <v>Corridos</v>
      </c>
    </row>
    <row r="23" spans="1:7">
      <c r="A23" s="22" t="s">
        <v>66</v>
      </c>
      <c r="B23">
        <f>IF(OR($B$8="",$D$8=""),"",$D$8-$B$8)</f>
        <v>155</v>
      </c>
      <c r="D23">
        <f>IF(OR($B$8="",$D$8=""),"",$D$8-$B$8)</f>
        <v>155</v>
      </c>
      <c r="F23">
        <f>IF(OR($B$8="",$D$8=""),"",$D$8-$B$8)</f>
        <v>155</v>
      </c>
    </row>
    <row r="24" spans="1:7">
      <c r="A24" s="22" t="s">
        <v>67</v>
      </c>
      <c r="B24" s="45">
        <f>IF(OR($B$8="",$D$8=""),"",($D$8-$B$8)/30)</f>
        <v>5.166666666666667</v>
      </c>
      <c r="C24" s="45"/>
      <c r="D24" s="45">
        <f>IF(OR($B$8="",$D$8=""),"",($D$8-$B$8)/30)</f>
        <v>5.166666666666667</v>
      </c>
      <c r="E24" s="45"/>
      <c r="F24" s="45">
        <f>IF(OR($B$8="",$D$8=""),"",($D$8-$B$8)/30)</f>
        <v>5.166666666666667</v>
      </c>
    </row>
    <row r="25" spans="1:7">
      <c r="A25" s="22" t="s">
        <v>68</v>
      </c>
      <c r="B25" s="56">
        <f>NETWORKDAYS($B$8,$D$8,Feriados!$A$2:$A$1000)-1</f>
        <v>105</v>
      </c>
      <c r="C25" s="56"/>
      <c r="D25" s="56">
        <f>NETWORKDAYS($B$8,$D$8,Feriados!$A$2:$A$1000)-1</f>
        <v>105</v>
      </c>
      <c r="E25" s="56"/>
      <c r="F25" s="56">
        <f>NETWORKDAYS($B$8,$D$8,Feriados!$A$2:$A$1000)-1</f>
        <v>105</v>
      </c>
    </row>
    <row r="26" spans="1:7">
      <c r="A26" s="22" t="s">
        <v>69</v>
      </c>
      <c r="B26" s="45">
        <f>IF($B$25="","",$B$25/22)</f>
        <v>4.7727272727272725</v>
      </c>
      <c r="D26" s="45">
        <f>IF($D$25="","",$D$25/22)</f>
        <v>4.7727272727272725</v>
      </c>
      <c r="F26" s="45">
        <f>IF($F$25="","",$F$25/22)</f>
        <v>4.7727272727272725</v>
      </c>
    </row>
    <row r="27" spans="1:7" ht="23.45">
      <c r="A27" s="32" t="s">
        <v>70</v>
      </c>
      <c r="B27" s="31">
        <f>IFERROR(N($B$19)*(1-N($B$20)),"")</f>
        <v>104.77726888120108</v>
      </c>
      <c r="C27" s="27"/>
      <c r="D27" s="31">
        <f>IFERROR(N($D$19)*(1-N($D$20)),"")</f>
        <v>106.27158333333334</v>
      </c>
      <c r="E27" s="27"/>
      <c r="F27" s="31">
        <f>IFERROR(N($F$19)*(1-N($F$20)),"")</f>
        <v>109.55833333333334</v>
      </c>
    </row>
    <row r="28" spans="1:7" s="19" customFormat="1">
      <c r="A28" s="35" t="s">
        <v>71</v>
      </c>
      <c r="B28" s="58">
        <f>IFERROR($B$27/N($B$16)-1,"")</f>
        <v>4.7772688812010911E-2</v>
      </c>
      <c r="D28" s="48">
        <f>IFERROR($D$27/N($D$16)-1,"")</f>
        <v>6.2715833333333304E-2</v>
      </c>
      <c r="F28" s="48">
        <f>IFERROR($F$27/N($F$16)-1,"")</f>
        <v>9.5583333333333353E-2</v>
      </c>
    </row>
    <row r="29" spans="1:7" s="19" customFormat="1">
      <c r="A29" s="35" t="s">
        <v>72</v>
      </c>
      <c r="B29" s="59" cm="1">
        <f t="array" ref="B29">_xlfn.LET(
_xlpm.n,N($B$24),
_xlpm.fator,IFERROR(N($B$27)/N($B$16),""),
_xlpm.tipo,$B$21,
IFERROR((_xlpm.fator-1)/_xlpm.n,"")
)</f>
        <v>9.2463268668408205E-3</v>
      </c>
      <c r="C29" s="51"/>
      <c r="D29" s="48" cm="1">
        <f t="array" ref="D29">_xlfn.LET(
_xlpm.n,N($D$24),
_xlpm.fator,IFERROR(N($D$27)/N($D$16),""),
_xlpm.tipo,$D$21,
IFERROR((_xlpm.fator-1)/_xlpm.n,"")
)</f>
        <v>1.2138548387096769E-2</v>
      </c>
      <c r="F29" s="48" cm="1">
        <f t="array" ref="F29">_xlfn.LET(
_xlpm.n,N($F$24),
_xlpm.fator,IFERROR(N($F$27)/N($F$16),""),
_xlpm.tipo,$F$21,
IFERROR((_xlpm.fator-1)/_xlpm.n,"")
)</f>
        <v>1.8500000000000003E-2</v>
      </c>
      <c r="G29" s="51"/>
    </row>
    <row r="31" spans="1:7" ht="23.45">
      <c r="A31" s="81" t="s">
        <v>73</v>
      </c>
      <c r="B31" s="81"/>
      <c r="C31" s="81"/>
      <c r="D31" s="81"/>
    </row>
    <row r="32" spans="1:7">
      <c r="A32" s="22" t="s">
        <v>74</v>
      </c>
      <c r="B32" s="29" t="s">
        <v>75</v>
      </c>
    </row>
    <row r="33" spans="1:2">
      <c r="A33" s="22" t="s">
        <v>76</v>
      </c>
      <c r="B33" s="28" t="s">
        <v>77</v>
      </c>
    </row>
    <row r="34" spans="1:2">
      <c r="A34" t="s">
        <v>68</v>
      </c>
      <c r="B34" t="s">
        <v>78</v>
      </c>
    </row>
    <row r="35" spans="1:2">
      <c r="A35" t="s">
        <v>79</v>
      </c>
      <c r="B35" t="s">
        <v>80</v>
      </c>
    </row>
    <row r="36" spans="1:2">
      <c r="A36" t="s">
        <v>81</v>
      </c>
      <c r="B36" t="s">
        <v>82</v>
      </c>
    </row>
    <row r="37" spans="1:2">
      <c r="A37" t="s">
        <v>83</v>
      </c>
      <c r="B37" s="52" t="s">
        <v>84</v>
      </c>
    </row>
    <row r="38" spans="1:2">
      <c r="A38" t="s">
        <v>85</v>
      </c>
      <c r="B38" s="52" t="s">
        <v>86</v>
      </c>
    </row>
    <row r="39" spans="1:2">
      <c r="A39" s="22" t="s">
        <v>87</v>
      </c>
    </row>
    <row r="40" spans="1:2">
      <c r="A40" s="22" t="s">
        <v>88</v>
      </c>
    </row>
    <row r="41" spans="1:2">
      <c r="A41" s="22" t="s">
        <v>89</v>
      </c>
    </row>
    <row r="42" spans="1:2">
      <c r="A42" s="30" t="s">
        <v>90</v>
      </c>
    </row>
  </sheetData>
  <mergeCells count="1">
    <mergeCell ref="A31:D31"/>
  </mergeCells>
  <conditionalFormatting sqref="B13:F13">
    <cfRule type="cellIs" dxfId="1" priority="1" operator="lessThanOrEqual">
      <formula>1</formula>
    </cfRule>
    <cfRule type="cellIs" dxfId="0" priority="2" operator="greaterThan">
      <formula>1</formula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ED5EA13-9EF5-429C-A328-77CE3E82893C}">
          <x14:formula1>
            <xm:f>Taxas!$A:$A</xm:f>
          </x14:formula1>
          <xm:sqref>B3</xm:sqref>
        </x14:dataValidation>
        <x14:dataValidation type="list" allowBlank="1" showInputMessage="1" showErrorMessage="1" xr:uid="{4A8BB962-EFC9-48A8-874D-615436540A3D}">
          <x14:formula1>
            <xm:f>Taxas!$C:$C</xm:f>
          </x14:formula1>
          <xm:sqref>D3</xm:sqref>
        </x14:dataValidation>
        <x14:dataValidation type="list" allowBlank="1" showInputMessage="1" showErrorMessage="1" xr:uid="{92BF366F-E64D-49AF-A927-3A49B0ACDBFA}">
          <x14:formula1>
            <xm:f>Taxas!$D:$D</xm:f>
          </x14:formula1>
          <xm:sqref>F3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2E8D-1B63-441C-9D88-2A84FE2A0A82}">
  <dimension ref="A1:C648"/>
  <sheetViews>
    <sheetView topLeftCell="A18" workbookViewId="0">
      <selection activeCell="H25" sqref="H25"/>
    </sheetView>
  </sheetViews>
  <sheetFormatPr defaultColWidth="8.85546875" defaultRowHeight="14.45"/>
  <cols>
    <col min="1" max="1" width="15.7109375" style="7" customWidth="1"/>
    <col min="2" max="2" width="33.85546875" customWidth="1"/>
  </cols>
  <sheetData>
    <row r="1" spans="1:3">
      <c r="A1" s="7" t="s">
        <v>91</v>
      </c>
      <c r="B1" t="s">
        <v>92</v>
      </c>
    </row>
    <row r="2" spans="1:3" ht="35.450000000000003">
      <c r="A2" s="36">
        <v>45658</v>
      </c>
      <c r="B2" s="37" t="s">
        <v>93</v>
      </c>
      <c r="C2" s="38" t="s">
        <v>94</v>
      </c>
    </row>
    <row r="3" spans="1:3">
      <c r="A3" s="39">
        <v>45719</v>
      </c>
      <c r="B3" s="40" t="s">
        <v>95</v>
      </c>
      <c r="C3" s="41" t="s">
        <v>96</v>
      </c>
    </row>
    <row r="4" spans="1:3">
      <c r="A4" s="39">
        <v>45720</v>
      </c>
      <c r="B4" s="40" t="s">
        <v>97</v>
      </c>
      <c r="C4" s="41" t="s">
        <v>96</v>
      </c>
    </row>
    <row r="5" spans="1:3" ht="24">
      <c r="A5" s="39">
        <v>45765</v>
      </c>
      <c r="B5" s="40" t="s">
        <v>98</v>
      </c>
      <c r="C5" s="41" t="s">
        <v>99</v>
      </c>
    </row>
    <row r="6" spans="1:3">
      <c r="A6" s="39">
        <v>45768</v>
      </c>
      <c r="B6" s="40" t="s">
        <v>95</v>
      </c>
      <c r="C6" s="41" t="s">
        <v>100</v>
      </c>
    </row>
    <row r="7" spans="1:3" ht="24">
      <c r="A7" s="39">
        <v>45778</v>
      </c>
      <c r="B7" s="40" t="s">
        <v>101</v>
      </c>
      <c r="C7" s="41" t="s">
        <v>102</v>
      </c>
    </row>
    <row r="8" spans="1:3" ht="24">
      <c r="A8" s="39">
        <v>45827</v>
      </c>
      <c r="B8" s="40" t="s">
        <v>101</v>
      </c>
      <c r="C8" s="41" t="s">
        <v>103</v>
      </c>
    </row>
    <row r="9" spans="1:3" ht="35.450000000000003">
      <c r="A9" s="39">
        <v>45907</v>
      </c>
      <c r="B9" s="40" t="s">
        <v>104</v>
      </c>
      <c r="C9" s="41" t="s">
        <v>105</v>
      </c>
    </row>
    <row r="10" spans="1:3" ht="48.95">
      <c r="A10" s="39">
        <v>45942</v>
      </c>
      <c r="B10" s="40" t="s">
        <v>104</v>
      </c>
      <c r="C10" s="41" t="s">
        <v>106</v>
      </c>
    </row>
    <row r="11" spans="1:3">
      <c r="A11" s="39">
        <v>45963</v>
      </c>
      <c r="B11" s="40" t="s">
        <v>104</v>
      </c>
      <c r="C11" s="41" t="s">
        <v>107</v>
      </c>
    </row>
    <row r="12" spans="1:3" ht="35.450000000000003">
      <c r="A12" s="39">
        <v>45976</v>
      </c>
      <c r="B12" s="40" t="s">
        <v>108</v>
      </c>
      <c r="C12" s="41" t="s">
        <v>109</v>
      </c>
    </row>
    <row r="13" spans="1:3">
      <c r="A13" s="39">
        <v>46016</v>
      </c>
      <c r="B13" s="40" t="s">
        <v>101</v>
      </c>
      <c r="C13" s="41" t="s">
        <v>110</v>
      </c>
    </row>
    <row r="14" spans="1:3" ht="35.450000000000003">
      <c r="A14" s="42">
        <v>46023</v>
      </c>
      <c r="B14" s="43" t="s">
        <v>101</v>
      </c>
      <c r="C14" s="44" t="s">
        <v>94</v>
      </c>
    </row>
    <row r="15" spans="1:3">
      <c r="A15" s="42">
        <v>46069</v>
      </c>
      <c r="B15" s="43" t="s">
        <v>95</v>
      </c>
      <c r="C15" s="44" t="s">
        <v>96</v>
      </c>
    </row>
    <row r="16" spans="1:3">
      <c r="A16" s="42">
        <v>46070</v>
      </c>
      <c r="B16" s="43" t="s">
        <v>97</v>
      </c>
      <c r="C16" s="44" t="s">
        <v>96</v>
      </c>
    </row>
    <row r="17" spans="1:3" ht="24">
      <c r="A17" s="42">
        <v>46115</v>
      </c>
      <c r="B17" s="43" t="s">
        <v>98</v>
      </c>
      <c r="C17" s="44" t="s">
        <v>99</v>
      </c>
    </row>
    <row r="18" spans="1:3">
      <c r="A18" s="42">
        <v>46133</v>
      </c>
      <c r="B18" s="43" t="s">
        <v>97</v>
      </c>
      <c r="C18" s="44" t="s">
        <v>100</v>
      </c>
    </row>
    <row r="19" spans="1:3" ht="24">
      <c r="A19" s="42">
        <v>46143</v>
      </c>
      <c r="B19" s="43" t="s">
        <v>98</v>
      </c>
      <c r="C19" s="44" t="s">
        <v>102</v>
      </c>
    </row>
    <row r="20" spans="1:3" ht="24">
      <c r="A20" s="42">
        <v>46177</v>
      </c>
      <c r="B20" s="43" t="s">
        <v>101</v>
      </c>
      <c r="C20" s="44" t="s">
        <v>103</v>
      </c>
    </row>
    <row r="21" spans="1:3" ht="35.450000000000003">
      <c r="A21" s="42">
        <v>46272</v>
      </c>
      <c r="B21" s="43" t="s">
        <v>95</v>
      </c>
      <c r="C21" s="44" t="s">
        <v>105</v>
      </c>
    </row>
    <row r="22" spans="1:3" ht="48.95">
      <c r="A22" s="42">
        <v>46307</v>
      </c>
      <c r="B22" s="43" t="s">
        <v>95</v>
      </c>
      <c r="C22" s="44" t="s">
        <v>106</v>
      </c>
    </row>
    <row r="23" spans="1:3">
      <c r="A23" s="42">
        <v>46328</v>
      </c>
      <c r="B23" s="43" t="s">
        <v>95</v>
      </c>
      <c r="C23" s="44" t="s">
        <v>107</v>
      </c>
    </row>
    <row r="24" spans="1:3" ht="35.450000000000003">
      <c r="A24" s="42">
        <v>46341</v>
      </c>
      <c r="B24" s="43" t="s">
        <v>104</v>
      </c>
      <c r="C24" s="44" t="s">
        <v>109</v>
      </c>
    </row>
    <row r="25" spans="1:3">
      <c r="A25" s="42">
        <v>46381</v>
      </c>
      <c r="B25" s="43" t="s">
        <v>98</v>
      </c>
      <c r="C25" s="44" t="s">
        <v>110</v>
      </c>
    </row>
    <row r="26" spans="1:3" ht="35.450000000000003">
      <c r="A26" s="39">
        <v>46388</v>
      </c>
      <c r="B26" s="40" t="s">
        <v>98</v>
      </c>
      <c r="C26" s="41" t="s">
        <v>94</v>
      </c>
    </row>
    <row r="27" spans="1:3">
      <c r="A27" s="39">
        <v>46426</v>
      </c>
      <c r="B27" s="40" t="s">
        <v>95</v>
      </c>
      <c r="C27" s="41" t="s">
        <v>96</v>
      </c>
    </row>
    <row r="28" spans="1:3">
      <c r="A28" s="39">
        <v>46427</v>
      </c>
      <c r="B28" s="40" t="s">
        <v>97</v>
      </c>
      <c r="C28" s="41" t="s">
        <v>96</v>
      </c>
    </row>
    <row r="29" spans="1:3" ht="24">
      <c r="A29" s="39">
        <v>46472</v>
      </c>
      <c r="B29" s="40" t="s">
        <v>98</v>
      </c>
      <c r="C29" s="41" t="s">
        <v>99</v>
      </c>
    </row>
    <row r="30" spans="1:3">
      <c r="A30" s="39">
        <v>46498</v>
      </c>
      <c r="B30" s="40" t="s">
        <v>93</v>
      </c>
      <c r="C30" s="41" t="s">
        <v>100</v>
      </c>
    </row>
    <row r="31" spans="1:3" ht="24">
      <c r="A31" s="39">
        <v>46508</v>
      </c>
      <c r="B31" s="40" t="s">
        <v>108</v>
      </c>
      <c r="C31" s="41" t="s">
        <v>102</v>
      </c>
    </row>
    <row r="32" spans="1:3" ht="24">
      <c r="A32" s="39">
        <v>46534</v>
      </c>
      <c r="B32" s="40" t="s">
        <v>101</v>
      </c>
      <c r="C32" s="41" t="s">
        <v>103</v>
      </c>
    </row>
    <row r="33" spans="1:3" ht="35.450000000000003">
      <c r="A33" s="39">
        <v>46637</v>
      </c>
      <c r="B33" s="40" t="s">
        <v>97</v>
      </c>
      <c r="C33" s="41" t="s">
        <v>105</v>
      </c>
    </row>
    <row r="34" spans="1:3" ht="48.95">
      <c r="A34" s="39">
        <v>46672</v>
      </c>
      <c r="B34" s="40" t="s">
        <v>97</v>
      </c>
      <c r="C34" s="41" t="s">
        <v>106</v>
      </c>
    </row>
    <row r="35" spans="1:3">
      <c r="A35" s="39">
        <v>46693</v>
      </c>
      <c r="B35" s="40" t="s">
        <v>97</v>
      </c>
      <c r="C35" s="41" t="s">
        <v>107</v>
      </c>
    </row>
    <row r="36" spans="1:3" ht="35.450000000000003">
      <c r="A36" s="39">
        <v>46706</v>
      </c>
      <c r="B36" s="40" t="s">
        <v>95</v>
      </c>
      <c r="C36" s="41" t="s">
        <v>109</v>
      </c>
    </row>
    <row r="37" spans="1:3">
      <c r="A37" s="39">
        <v>46746</v>
      </c>
      <c r="B37" s="40" t="s">
        <v>108</v>
      </c>
      <c r="C37" s="41" t="s">
        <v>110</v>
      </c>
    </row>
    <row r="38" spans="1:3" ht="35.450000000000003">
      <c r="A38" s="42">
        <v>46753</v>
      </c>
      <c r="B38" s="43" t="s">
        <v>108</v>
      </c>
      <c r="C38" s="44" t="s">
        <v>94</v>
      </c>
    </row>
    <row r="39" spans="1:3">
      <c r="A39" s="42">
        <v>46811</v>
      </c>
      <c r="B39" s="43" t="s">
        <v>95</v>
      </c>
      <c r="C39" s="44" t="s">
        <v>96</v>
      </c>
    </row>
    <row r="40" spans="1:3">
      <c r="A40" s="42">
        <v>46812</v>
      </c>
      <c r="B40" s="43" t="s">
        <v>97</v>
      </c>
      <c r="C40" s="44" t="s">
        <v>96</v>
      </c>
    </row>
    <row r="41" spans="1:3" ht="24">
      <c r="A41" s="42">
        <v>46857</v>
      </c>
      <c r="B41" s="43" t="s">
        <v>98</v>
      </c>
      <c r="C41" s="44" t="s">
        <v>99</v>
      </c>
    </row>
    <row r="42" spans="1:3">
      <c r="A42" s="42">
        <v>46864</v>
      </c>
      <c r="B42" s="43" t="s">
        <v>98</v>
      </c>
      <c r="C42" s="44" t="s">
        <v>100</v>
      </c>
    </row>
    <row r="43" spans="1:3" ht="24">
      <c r="A43" s="42">
        <v>46874</v>
      </c>
      <c r="B43" s="43" t="s">
        <v>95</v>
      </c>
      <c r="C43" s="44" t="s">
        <v>102</v>
      </c>
    </row>
    <row r="44" spans="1:3" ht="24">
      <c r="A44" s="42">
        <v>46919</v>
      </c>
      <c r="B44" s="43" t="s">
        <v>101</v>
      </c>
      <c r="C44" s="44" t="s">
        <v>103</v>
      </c>
    </row>
    <row r="45" spans="1:3" ht="35.450000000000003">
      <c r="A45" s="42">
        <v>47003</v>
      </c>
      <c r="B45" s="43" t="s">
        <v>101</v>
      </c>
      <c r="C45" s="44" t="s">
        <v>105</v>
      </c>
    </row>
    <row r="46" spans="1:3" ht="48.95">
      <c r="A46" s="42">
        <v>47038</v>
      </c>
      <c r="B46" s="43" t="s">
        <v>101</v>
      </c>
      <c r="C46" s="44" t="s">
        <v>106</v>
      </c>
    </row>
    <row r="47" spans="1:3">
      <c r="A47" s="42">
        <v>47059</v>
      </c>
      <c r="B47" s="43" t="s">
        <v>101</v>
      </c>
      <c r="C47" s="44" t="s">
        <v>107</v>
      </c>
    </row>
    <row r="48" spans="1:3" ht="35.450000000000003">
      <c r="A48" s="42">
        <v>47072</v>
      </c>
      <c r="B48" s="43" t="s">
        <v>93</v>
      </c>
      <c r="C48" s="44" t="s">
        <v>109</v>
      </c>
    </row>
    <row r="49" spans="1:3">
      <c r="A49" s="42">
        <v>47112</v>
      </c>
      <c r="B49" s="43" t="s">
        <v>95</v>
      </c>
      <c r="C49" s="44" t="s">
        <v>110</v>
      </c>
    </row>
    <row r="50" spans="1:3" ht="35.450000000000003">
      <c r="A50" s="39">
        <v>47119</v>
      </c>
      <c r="B50" s="40" t="s">
        <v>95</v>
      </c>
      <c r="C50" s="41" t="s">
        <v>94</v>
      </c>
    </row>
    <row r="51" spans="1:3">
      <c r="A51" s="39">
        <v>47161</v>
      </c>
      <c r="B51" s="40" t="s">
        <v>95</v>
      </c>
      <c r="C51" s="41" t="s">
        <v>96</v>
      </c>
    </row>
    <row r="52" spans="1:3">
      <c r="A52" s="39">
        <v>47162</v>
      </c>
      <c r="B52" s="40" t="s">
        <v>97</v>
      </c>
      <c r="C52" s="41" t="s">
        <v>96</v>
      </c>
    </row>
    <row r="53" spans="1:3" ht="24">
      <c r="A53" s="39">
        <v>47207</v>
      </c>
      <c r="B53" s="40" t="s">
        <v>98</v>
      </c>
      <c r="C53" s="41" t="s">
        <v>99</v>
      </c>
    </row>
    <row r="54" spans="1:3">
      <c r="A54" s="39">
        <v>47229</v>
      </c>
      <c r="B54" s="40" t="s">
        <v>108</v>
      </c>
      <c r="C54" s="41" t="s">
        <v>100</v>
      </c>
    </row>
    <row r="55" spans="1:3" ht="24">
      <c r="A55" s="39">
        <v>47239</v>
      </c>
      <c r="B55" s="40" t="s">
        <v>97</v>
      </c>
      <c r="C55" s="41" t="s">
        <v>102</v>
      </c>
    </row>
    <row r="56" spans="1:3" ht="24">
      <c r="A56" s="39">
        <v>47269</v>
      </c>
      <c r="B56" s="40" t="s">
        <v>101</v>
      </c>
      <c r="C56" s="41" t="s">
        <v>103</v>
      </c>
    </row>
    <row r="57" spans="1:3" ht="35.450000000000003">
      <c r="A57" s="39">
        <v>47368</v>
      </c>
      <c r="B57" s="40" t="s">
        <v>98</v>
      </c>
      <c r="C57" s="41" t="s">
        <v>105</v>
      </c>
    </row>
    <row r="58" spans="1:3" ht="48.95">
      <c r="A58" s="39">
        <v>47403</v>
      </c>
      <c r="B58" s="40" t="s">
        <v>98</v>
      </c>
      <c r="C58" s="41" t="s">
        <v>106</v>
      </c>
    </row>
    <row r="59" spans="1:3">
      <c r="A59" s="39">
        <v>47424</v>
      </c>
      <c r="B59" s="40" t="s">
        <v>98</v>
      </c>
      <c r="C59" s="41" t="s">
        <v>107</v>
      </c>
    </row>
    <row r="60" spans="1:3" ht="35.450000000000003">
      <c r="A60" s="39">
        <v>47437</v>
      </c>
      <c r="B60" s="40" t="s">
        <v>101</v>
      </c>
      <c r="C60" s="41" t="s">
        <v>109</v>
      </c>
    </row>
    <row r="61" spans="1:3">
      <c r="A61" s="39">
        <v>47477</v>
      </c>
      <c r="B61" s="40" t="s">
        <v>97</v>
      </c>
      <c r="C61" s="41" t="s">
        <v>110</v>
      </c>
    </row>
    <row r="62" spans="1:3" ht="35.450000000000003">
      <c r="A62" s="42">
        <v>47484</v>
      </c>
      <c r="B62" s="43" t="s">
        <v>97</v>
      </c>
      <c r="C62" s="44" t="s">
        <v>94</v>
      </c>
    </row>
    <row r="63" spans="1:3">
      <c r="A63" s="42">
        <v>47546</v>
      </c>
      <c r="B63" s="43" t="s">
        <v>95</v>
      </c>
      <c r="C63" s="44" t="s">
        <v>96</v>
      </c>
    </row>
    <row r="64" spans="1:3">
      <c r="A64" s="42">
        <v>47547</v>
      </c>
      <c r="B64" s="43" t="s">
        <v>97</v>
      </c>
      <c r="C64" s="44" t="s">
        <v>96</v>
      </c>
    </row>
    <row r="65" spans="1:3" ht="24">
      <c r="A65" s="42">
        <v>47592</v>
      </c>
      <c r="B65" s="43" t="s">
        <v>98</v>
      </c>
      <c r="C65" s="44" t="s">
        <v>99</v>
      </c>
    </row>
    <row r="66" spans="1:3">
      <c r="A66" s="42">
        <v>47594</v>
      </c>
      <c r="B66" s="43" t="s">
        <v>104</v>
      </c>
      <c r="C66" s="44" t="s">
        <v>100</v>
      </c>
    </row>
    <row r="67" spans="1:3" ht="24">
      <c r="A67" s="42">
        <v>47604</v>
      </c>
      <c r="B67" s="43" t="s">
        <v>93</v>
      </c>
      <c r="C67" s="44" t="s">
        <v>102</v>
      </c>
    </row>
    <row r="68" spans="1:3" ht="24">
      <c r="A68" s="42">
        <v>47654</v>
      </c>
      <c r="B68" s="43" t="s">
        <v>101</v>
      </c>
      <c r="C68" s="44" t="s">
        <v>103</v>
      </c>
    </row>
    <row r="69" spans="1:3" ht="35.450000000000003">
      <c r="A69" s="42">
        <v>47733</v>
      </c>
      <c r="B69" s="43" t="s">
        <v>108</v>
      </c>
      <c r="C69" s="44" t="s">
        <v>105</v>
      </c>
    </row>
    <row r="70" spans="1:3" ht="48.95">
      <c r="A70" s="42">
        <v>47768</v>
      </c>
      <c r="B70" s="43" t="s">
        <v>108</v>
      </c>
      <c r="C70" s="44" t="s">
        <v>106</v>
      </c>
    </row>
    <row r="71" spans="1:3">
      <c r="A71" s="42">
        <v>47789</v>
      </c>
      <c r="B71" s="43" t="s">
        <v>108</v>
      </c>
      <c r="C71" s="44" t="s">
        <v>107</v>
      </c>
    </row>
    <row r="72" spans="1:3" ht="35.450000000000003">
      <c r="A72" s="42">
        <v>47802</v>
      </c>
      <c r="B72" s="43" t="s">
        <v>98</v>
      </c>
      <c r="C72" s="44" t="s">
        <v>109</v>
      </c>
    </row>
    <row r="73" spans="1:3">
      <c r="A73" s="42">
        <v>47842</v>
      </c>
      <c r="B73" s="43" t="s">
        <v>93</v>
      </c>
      <c r="C73" s="44" t="s">
        <v>110</v>
      </c>
    </row>
    <row r="74" spans="1:3" ht="35.450000000000003">
      <c r="A74" s="39">
        <v>47849</v>
      </c>
      <c r="B74" s="40" t="s">
        <v>93</v>
      </c>
      <c r="C74" s="41" t="s">
        <v>94</v>
      </c>
    </row>
    <row r="75" spans="1:3">
      <c r="A75" s="39">
        <v>47903</v>
      </c>
      <c r="B75" s="40" t="s">
        <v>95</v>
      </c>
      <c r="C75" s="41" t="s">
        <v>96</v>
      </c>
    </row>
    <row r="76" spans="1:3">
      <c r="A76" s="39">
        <v>47904</v>
      </c>
      <c r="B76" s="40" t="s">
        <v>97</v>
      </c>
      <c r="C76" s="41" t="s">
        <v>96</v>
      </c>
    </row>
    <row r="77" spans="1:3" ht="24">
      <c r="A77" s="39">
        <v>47949</v>
      </c>
      <c r="B77" s="40" t="s">
        <v>98</v>
      </c>
      <c r="C77" s="41" t="s">
        <v>99</v>
      </c>
    </row>
    <row r="78" spans="1:3">
      <c r="A78" s="39">
        <v>47959</v>
      </c>
      <c r="B78" s="40" t="s">
        <v>95</v>
      </c>
      <c r="C78" s="41" t="s">
        <v>100</v>
      </c>
    </row>
    <row r="79" spans="1:3" ht="24">
      <c r="A79" s="39">
        <v>47969</v>
      </c>
      <c r="B79" s="40" t="s">
        <v>101</v>
      </c>
      <c r="C79" s="41" t="s">
        <v>102</v>
      </c>
    </row>
    <row r="80" spans="1:3" ht="24">
      <c r="A80" s="39">
        <v>48011</v>
      </c>
      <c r="B80" s="40" t="s">
        <v>101</v>
      </c>
      <c r="C80" s="41" t="s">
        <v>103</v>
      </c>
    </row>
    <row r="81" spans="1:3" ht="35.450000000000003">
      <c r="A81" s="39">
        <v>48098</v>
      </c>
      <c r="B81" s="40" t="s">
        <v>104</v>
      </c>
      <c r="C81" s="41" t="s">
        <v>105</v>
      </c>
    </row>
    <row r="82" spans="1:3" ht="48.95">
      <c r="A82" s="39">
        <v>48133</v>
      </c>
      <c r="B82" s="40" t="s">
        <v>104</v>
      </c>
      <c r="C82" s="41" t="s">
        <v>106</v>
      </c>
    </row>
    <row r="83" spans="1:3">
      <c r="A83" s="39">
        <v>48154</v>
      </c>
      <c r="B83" s="40" t="s">
        <v>104</v>
      </c>
      <c r="C83" s="41" t="s">
        <v>107</v>
      </c>
    </row>
    <row r="84" spans="1:3" ht="35.450000000000003">
      <c r="A84" s="39">
        <v>48167</v>
      </c>
      <c r="B84" s="40" t="s">
        <v>108</v>
      </c>
      <c r="C84" s="41" t="s">
        <v>109</v>
      </c>
    </row>
    <row r="85" spans="1:3">
      <c r="A85" s="39">
        <v>48207</v>
      </c>
      <c r="B85" s="40" t="s">
        <v>101</v>
      </c>
      <c r="C85" s="41" t="s">
        <v>110</v>
      </c>
    </row>
    <row r="86" spans="1:3" ht="35.450000000000003">
      <c r="A86" s="42">
        <v>48214</v>
      </c>
      <c r="B86" s="43" t="s">
        <v>101</v>
      </c>
      <c r="C86" s="44" t="s">
        <v>94</v>
      </c>
    </row>
    <row r="87" spans="1:3">
      <c r="A87" s="42">
        <v>48253</v>
      </c>
      <c r="B87" s="43" t="s">
        <v>95</v>
      </c>
      <c r="C87" s="44" t="s">
        <v>96</v>
      </c>
    </row>
    <row r="88" spans="1:3">
      <c r="A88" s="42">
        <v>48254</v>
      </c>
      <c r="B88" s="43" t="s">
        <v>97</v>
      </c>
      <c r="C88" s="44" t="s">
        <v>96</v>
      </c>
    </row>
    <row r="89" spans="1:3" ht="24">
      <c r="A89" s="42">
        <v>48299</v>
      </c>
      <c r="B89" s="43" t="s">
        <v>98</v>
      </c>
      <c r="C89" s="44" t="s">
        <v>99</v>
      </c>
    </row>
    <row r="90" spans="1:3">
      <c r="A90" s="42">
        <v>48325</v>
      </c>
      <c r="B90" s="43" t="s">
        <v>93</v>
      </c>
      <c r="C90" s="44" t="s">
        <v>100</v>
      </c>
    </row>
    <row r="91" spans="1:3" ht="24">
      <c r="A91" s="42">
        <v>48335</v>
      </c>
      <c r="B91" s="43" t="s">
        <v>108</v>
      </c>
      <c r="C91" s="44" t="s">
        <v>102</v>
      </c>
    </row>
    <row r="92" spans="1:3" ht="24">
      <c r="A92" s="42">
        <v>48361</v>
      </c>
      <c r="B92" s="43" t="s">
        <v>101</v>
      </c>
      <c r="C92" s="44" t="s">
        <v>103</v>
      </c>
    </row>
    <row r="93" spans="1:3" ht="35.450000000000003">
      <c r="A93" s="42">
        <v>48464</v>
      </c>
      <c r="B93" s="43" t="s">
        <v>97</v>
      </c>
      <c r="C93" s="44" t="s">
        <v>105</v>
      </c>
    </row>
    <row r="94" spans="1:3" ht="48.95">
      <c r="A94" s="42">
        <v>48499</v>
      </c>
      <c r="B94" s="43" t="s">
        <v>97</v>
      </c>
      <c r="C94" s="44" t="s">
        <v>106</v>
      </c>
    </row>
    <row r="95" spans="1:3">
      <c r="A95" s="42">
        <v>48520</v>
      </c>
      <c r="B95" s="43" t="s">
        <v>97</v>
      </c>
      <c r="C95" s="44" t="s">
        <v>107</v>
      </c>
    </row>
    <row r="96" spans="1:3" ht="35.450000000000003">
      <c r="A96" s="42">
        <v>48533</v>
      </c>
      <c r="B96" s="43" t="s">
        <v>95</v>
      </c>
      <c r="C96" s="44" t="s">
        <v>109</v>
      </c>
    </row>
    <row r="97" spans="1:3">
      <c r="A97" s="42">
        <v>48573</v>
      </c>
      <c r="B97" s="43" t="s">
        <v>108</v>
      </c>
      <c r="C97" s="44" t="s">
        <v>110</v>
      </c>
    </row>
    <row r="98" spans="1:3" ht="35.450000000000003">
      <c r="A98" s="42">
        <v>48580</v>
      </c>
      <c r="B98" s="43" t="s">
        <v>108</v>
      </c>
      <c r="C98" s="44" t="s">
        <v>94</v>
      </c>
    </row>
    <row r="99" spans="1:3">
      <c r="A99" s="39">
        <v>48638</v>
      </c>
      <c r="B99" s="40" t="s">
        <v>95</v>
      </c>
      <c r="C99" s="41" t="s">
        <v>96</v>
      </c>
    </row>
    <row r="100" spans="1:3">
      <c r="A100" s="39">
        <v>48639</v>
      </c>
      <c r="B100" s="40" t="s">
        <v>97</v>
      </c>
      <c r="C100" s="41" t="s">
        <v>96</v>
      </c>
    </row>
    <row r="101" spans="1:3" ht="24">
      <c r="A101" s="39">
        <v>48684</v>
      </c>
      <c r="B101" s="40" t="s">
        <v>98</v>
      </c>
      <c r="C101" s="41" t="s">
        <v>99</v>
      </c>
    </row>
    <row r="102" spans="1:3">
      <c r="A102" s="39">
        <v>48690</v>
      </c>
      <c r="B102" s="40" t="s">
        <v>101</v>
      </c>
      <c r="C102" s="41" t="s">
        <v>100</v>
      </c>
    </row>
    <row r="103" spans="1:3" ht="24">
      <c r="A103" s="39">
        <v>48700</v>
      </c>
      <c r="B103" s="40" t="s">
        <v>104</v>
      </c>
      <c r="C103" s="41" t="s">
        <v>102</v>
      </c>
    </row>
    <row r="104" spans="1:3" ht="24">
      <c r="A104" s="39">
        <v>48746</v>
      </c>
      <c r="B104" s="40" t="s">
        <v>101</v>
      </c>
      <c r="C104" s="41" t="s">
        <v>103</v>
      </c>
    </row>
    <row r="105" spans="1:3" ht="35.450000000000003">
      <c r="A105" s="39">
        <v>48829</v>
      </c>
      <c r="B105" s="40" t="s">
        <v>93</v>
      </c>
      <c r="C105" s="41" t="s">
        <v>105</v>
      </c>
    </row>
    <row r="106" spans="1:3" ht="48.95">
      <c r="A106" s="39">
        <v>48864</v>
      </c>
      <c r="B106" s="40" t="s">
        <v>93</v>
      </c>
      <c r="C106" s="41" t="s">
        <v>106</v>
      </c>
    </row>
    <row r="107" spans="1:3">
      <c r="A107" s="39">
        <v>48885</v>
      </c>
      <c r="B107" s="40" t="s">
        <v>93</v>
      </c>
      <c r="C107" s="41" t="s">
        <v>107</v>
      </c>
    </row>
    <row r="108" spans="1:3" ht="35.450000000000003">
      <c r="A108" s="39">
        <v>48898</v>
      </c>
      <c r="B108" s="40" t="s">
        <v>97</v>
      </c>
      <c r="C108" s="41" t="s">
        <v>109</v>
      </c>
    </row>
    <row r="109" spans="1:3">
      <c r="A109" s="39">
        <v>48938</v>
      </c>
      <c r="B109" s="40" t="s">
        <v>104</v>
      </c>
      <c r="C109" s="41" t="s">
        <v>110</v>
      </c>
    </row>
    <row r="110" spans="1:3" ht="35.450000000000003">
      <c r="A110" s="42">
        <v>48945</v>
      </c>
      <c r="B110" s="43" t="s">
        <v>104</v>
      </c>
      <c r="C110" s="44" t="s">
        <v>94</v>
      </c>
    </row>
    <row r="111" spans="1:3">
      <c r="A111" s="42">
        <v>48995</v>
      </c>
      <c r="B111" s="43" t="s">
        <v>95</v>
      </c>
      <c r="C111" s="44" t="s">
        <v>96</v>
      </c>
    </row>
    <row r="112" spans="1:3">
      <c r="A112" s="42">
        <v>48996</v>
      </c>
      <c r="B112" s="43" t="s">
        <v>97</v>
      </c>
      <c r="C112" s="44" t="s">
        <v>96</v>
      </c>
    </row>
    <row r="113" spans="1:3" ht="24">
      <c r="A113" s="42">
        <v>49041</v>
      </c>
      <c r="B113" s="43" t="s">
        <v>98</v>
      </c>
      <c r="C113" s="44" t="s">
        <v>99</v>
      </c>
    </row>
    <row r="114" spans="1:3">
      <c r="A114" s="42">
        <v>49055</v>
      </c>
      <c r="B114" s="43" t="s">
        <v>98</v>
      </c>
      <c r="C114" s="44" t="s">
        <v>100</v>
      </c>
    </row>
    <row r="115" spans="1:3" ht="24">
      <c r="A115" s="42">
        <v>49065</v>
      </c>
      <c r="B115" s="43" t="s">
        <v>95</v>
      </c>
      <c r="C115" s="44" t="s">
        <v>102</v>
      </c>
    </row>
    <row r="116" spans="1:3" ht="24">
      <c r="A116" s="42">
        <v>49103</v>
      </c>
      <c r="B116" s="43" t="s">
        <v>101</v>
      </c>
      <c r="C116" s="44" t="s">
        <v>103</v>
      </c>
    </row>
    <row r="117" spans="1:3" ht="35.450000000000003">
      <c r="A117" s="42">
        <v>49194</v>
      </c>
      <c r="B117" s="43" t="s">
        <v>101</v>
      </c>
      <c r="C117" s="44" t="s">
        <v>105</v>
      </c>
    </row>
    <row r="118" spans="1:3" ht="48.95">
      <c r="A118" s="42">
        <v>49229</v>
      </c>
      <c r="B118" s="43" t="s">
        <v>101</v>
      </c>
      <c r="C118" s="44" t="s">
        <v>106</v>
      </c>
    </row>
    <row r="119" spans="1:3">
      <c r="A119" s="42">
        <v>49250</v>
      </c>
      <c r="B119" s="43" t="s">
        <v>101</v>
      </c>
      <c r="C119" s="44" t="s">
        <v>107</v>
      </c>
    </row>
    <row r="120" spans="1:3" ht="35.450000000000003">
      <c r="A120" s="42">
        <v>49263</v>
      </c>
      <c r="B120" s="43" t="s">
        <v>93</v>
      </c>
      <c r="C120" s="44" t="s">
        <v>109</v>
      </c>
    </row>
    <row r="121" spans="1:3">
      <c r="A121" s="42">
        <v>49303</v>
      </c>
      <c r="B121" s="43" t="s">
        <v>95</v>
      </c>
      <c r="C121" s="44" t="s">
        <v>110</v>
      </c>
    </row>
    <row r="122" spans="1:3" ht="35.450000000000003">
      <c r="A122" s="39">
        <v>49310</v>
      </c>
      <c r="B122" s="40" t="s">
        <v>95</v>
      </c>
      <c r="C122" s="41" t="s">
        <v>94</v>
      </c>
    </row>
    <row r="123" spans="1:3">
      <c r="A123" s="39">
        <v>49345</v>
      </c>
      <c r="B123" s="40" t="s">
        <v>95</v>
      </c>
      <c r="C123" s="41" t="s">
        <v>96</v>
      </c>
    </row>
    <row r="124" spans="1:3">
      <c r="A124" s="39">
        <v>49346</v>
      </c>
      <c r="B124" s="40" t="s">
        <v>97</v>
      </c>
      <c r="C124" s="41" t="s">
        <v>96</v>
      </c>
    </row>
    <row r="125" spans="1:3" ht="24">
      <c r="A125" s="39">
        <v>49391</v>
      </c>
      <c r="B125" s="40" t="s">
        <v>98</v>
      </c>
      <c r="C125" s="41" t="s">
        <v>99</v>
      </c>
    </row>
    <row r="126" spans="1:3">
      <c r="A126" s="39">
        <v>49420</v>
      </c>
      <c r="B126" s="40" t="s">
        <v>108</v>
      </c>
      <c r="C126" s="41" t="s">
        <v>100</v>
      </c>
    </row>
    <row r="127" spans="1:3" ht="24">
      <c r="A127" s="39">
        <v>49430</v>
      </c>
      <c r="B127" s="40" t="s">
        <v>97</v>
      </c>
      <c r="C127" s="41" t="s">
        <v>102</v>
      </c>
    </row>
    <row r="128" spans="1:3" ht="24">
      <c r="A128" s="39">
        <v>49453</v>
      </c>
      <c r="B128" s="40" t="s">
        <v>101</v>
      </c>
      <c r="C128" s="41" t="s">
        <v>103</v>
      </c>
    </row>
    <row r="129" spans="1:3" ht="35.450000000000003">
      <c r="A129" s="39">
        <v>49559</v>
      </c>
      <c r="B129" s="40" t="s">
        <v>98</v>
      </c>
      <c r="C129" s="41" t="s">
        <v>105</v>
      </c>
    </row>
    <row r="130" spans="1:3" ht="48.95">
      <c r="A130" s="39">
        <v>49594</v>
      </c>
      <c r="B130" s="40" t="s">
        <v>98</v>
      </c>
      <c r="C130" s="41" t="s">
        <v>106</v>
      </c>
    </row>
    <row r="131" spans="1:3">
      <c r="A131" s="39">
        <v>49615</v>
      </c>
      <c r="B131" s="40" t="s">
        <v>98</v>
      </c>
      <c r="C131" s="41" t="s">
        <v>107</v>
      </c>
    </row>
    <row r="132" spans="1:3" ht="35.450000000000003">
      <c r="A132" s="39">
        <v>49628</v>
      </c>
      <c r="B132" s="40" t="s">
        <v>101</v>
      </c>
      <c r="C132" s="41" t="s">
        <v>109</v>
      </c>
    </row>
    <row r="133" spans="1:3">
      <c r="A133" s="39">
        <v>49668</v>
      </c>
      <c r="B133" s="40" t="s">
        <v>97</v>
      </c>
      <c r="C133" s="41" t="s">
        <v>110</v>
      </c>
    </row>
    <row r="134" spans="1:3" ht="35.450000000000003">
      <c r="A134" s="42">
        <v>49675</v>
      </c>
      <c r="B134" s="43" t="s">
        <v>97</v>
      </c>
      <c r="C134" s="44" t="s">
        <v>94</v>
      </c>
    </row>
    <row r="135" spans="1:3">
      <c r="A135" s="42">
        <v>49730</v>
      </c>
      <c r="B135" s="43" t="s">
        <v>95</v>
      </c>
      <c r="C135" s="44" t="s">
        <v>96</v>
      </c>
    </row>
    <row r="136" spans="1:3">
      <c r="A136" s="42">
        <v>49731</v>
      </c>
      <c r="B136" s="43" t="s">
        <v>97</v>
      </c>
      <c r="C136" s="44" t="s">
        <v>96</v>
      </c>
    </row>
    <row r="137" spans="1:3" ht="24">
      <c r="A137" s="42">
        <v>49776</v>
      </c>
      <c r="B137" s="43" t="s">
        <v>98</v>
      </c>
      <c r="C137" s="44" t="s">
        <v>99</v>
      </c>
    </row>
    <row r="138" spans="1:3">
      <c r="A138" s="42">
        <v>49786</v>
      </c>
      <c r="B138" s="43" t="s">
        <v>95</v>
      </c>
      <c r="C138" s="44" t="s">
        <v>100</v>
      </c>
    </row>
    <row r="139" spans="1:3" ht="24">
      <c r="A139" s="42">
        <v>49796</v>
      </c>
      <c r="B139" s="43" t="s">
        <v>101</v>
      </c>
      <c r="C139" s="44" t="s">
        <v>102</v>
      </c>
    </row>
    <row r="140" spans="1:3" ht="24">
      <c r="A140" s="42">
        <v>49838</v>
      </c>
      <c r="B140" s="43" t="s">
        <v>101</v>
      </c>
      <c r="C140" s="44" t="s">
        <v>103</v>
      </c>
    </row>
    <row r="141" spans="1:3" ht="35.450000000000003">
      <c r="A141" s="42">
        <v>49925</v>
      </c>
      <c r="B141" s="43" t="s">
        <v>104</v>
      </c>
      <c r="C141" s="44" t="s">
        <v>105</v>
      </c>
    </row>
    <row r="142" spans="1:3" ht="48.95">
      <c r="A142" s="42">
        <v>49960</v>
      </c>
      <c r="B142" s="43" t="s">
        <v>104</v>
      </c>
      <c r="C142" s="44" t="s">
        <v>106</v>
      </c>
    </row>
    <row r="143" spans="1:3">
      <c r="A143" s="42">
        <v>49981</v>
      </c>
      <c r="B143" s="43" t="s">
        <v>104</v>
      </c>
      <c r="C143" s="44" t="s">
        <v>107</v>
      </c>
    </row>
    <row r="144" spans="1:3" ht="35.450000000000003">
      <c r="A144" s="42">
        <v>49994</v>
      </c>
      <c r="B144" s="43" t="s">
        <v>108</v>
      </c>
      <c r="C144" s="44" t="s">
        <v>109</v>
      </c>
    </row>
    <row r="145" spans="1:3">
      <c r="A145" s="42">
        <v>50034</v>
      </c>
      <c r="B145" s="43" t="s">
        <v>101</v>
      </c>
      <c r="C145" s="44" t="s">
        <v>110</v>
      </c>
    </row>
    <row r="146" spans="1:3" ht="35.450000000000003">
      <c r="A146" s="39">
        <v>50041</v>
      </c>
      <c r="B146" s="40" t="s">
        <v>101</v>
      </c>
      <c r="C146" s="41" t="s">
        <v>94</v>
      </c>
    </row>
    <row r="147" spans="1:3">
      <c r="A147" s="39">
        <v>50087</v>
      </c>
      <c r="B147" s="40" t="s">
        <v>95</v>
      </c>
      <c r="C147" s="41" t="s">
        <v>96</v>
      </c>
    </row>
    <row r="148" spans="1:3">
      <c r="A148" s="39">
        <v>50088</v>
      </c>
      <c r="B148" s="40" t="s">
        <v>97</v>
      </c>
      <c r="C148" s="41" t="s">
        <v>96</v>
      </c>
    </row>
    <row r="149" spans="1:3" ht="24">
      <c r="A149" s="39">
        <v>50133</v>
      </c>
      <c r="B149" s="40" t="s">
        <v>98</v>
      </c>
      <c r="C149" s="41" t="s">
        <v>99</v>
      </c>
    </row>
    <row r="150" spans="1:3">
      <c r="A150" s="39">
        <v>50151</v>
      </c>
      <c r="B150" s="40" t="s">
        <v>97</v>
      </c>
      <c r="C150" s="41" t="s">
        <v>100</v>
      </c>
    </row>
    <row r="151" spans="1:3" ht="24">
      <c r="A151" s="39">
        <v>50161</v>
      </c>
      <c r="B151" s="40" t="s">
        <v>98</v>
      </c>
      <c r="C151" s="41" t="s">
        <v>102</v>
      </c>
    </row>
    <row r="152" spans="1:3" ht="24">
      <c r="A152" s="39">
        <v>50195</v>
      </c>
      <c r="B152" s="40" t="s">
        <v>101</v>
      </c>
      <c r="C152" s="41" t="s">
        <v>103</v>
      </c>
    </row>
    <row r="153" spans="1:3" ht="35.450000000000003">
      <c r="A153" s="39">
        <v>50290</v>
      </c>
      <c r="B153" s="40" t="s">
        <v>95</v>
      </c>
      <c r="C153" s="41" t="s">
        <v>105</v>
      </c>
    </row>
    <row r="154" spans="1:3" ht="48.95">
      <c r="A154" s="39">
        <v>50325</v>
      </c>
      <c r="B154" s="40" t="s">
        <v>95</v>
      </c>
      <c r="C154" s="41" t="s">
        <v>106</v>
      </c>
    </row>
    <row r="155" spans="1:3">
      <c r="A155" s="39">
        <v>50346</v>
      </c>
      <c r="B155" s="40" t="s">
        <v>95</v>
      </c>
      <c r="C155" s="41" t="s">
        <v>107</v>
      </c>
    </row>
    <row r="156" spans="1:3" ht="35.450000000000003">
      <c r="A156" s="39">
        <v>50359</v>
      </c>
      <c r="B156" s="40" t="s">
        <v>104</v>
      </c>
      <c r="C156" s="41" t="s">
        <v>109</v>
      </c>
    </row>
    <row r="157" spans="1:3">
      <c r="A157" s="39">
        <v>50399</v>
      </c>
      <c r="B157" s="40" t="s">
        <v>98</v>
      </c>
      <c r="C157" s="41" t="s">
        <v>110</v>
      </c>
    </row>
    <row r="158" spans="1:3" ht="35.450000000000003">
      <c r="A158" s="42">
        <v>50406</v>
      </c>
      <c r="B158" s="43" t="s">
        <v>98</v>
      </c>
      <c r="C158" s="44" t="s">
        <v>94</v>
      </c>
    </row>
    <row r="159" spans="1:3">
      <c r="A159" s="42">
        <v>50472</v>
      </c>
      <c r="B159" s="43" t="s">
        <v>95</v>
      </c>
      <c r="C159" s="44" t="s">
        <v>96</v>
      </c>
    </row>
    <row r="160" spans="1:3">
      <c r="A160" s="42">
        <v>50473</v>
      </c>
      <c r="B160" s="43" t="s">
        <v>97</v>
      </c>
      <c r="C160" s="44" t="s">
        <v>96</v>
      </c>
    </row>
    <row r="161" spans="1:3">
      <c r="A161" s="42">
        <v>50516</v>
      </c>
      <c r="B161" s="43" t="s">
        <v>93</v>
      </c>
      <c r="C161" s="44" t="s">
        <v>100</v>
      </c>
    </row>
    <row r="162" spans="1:3" ht="24">
      <c r="A162" s="42">
        <v>50518</v>
      </c>
      <c r="B162" s="43" t="s">
        <v>98</v>
      </c>
      <c r="C162" s="44" t="s">
        <v>99</v>
      </c>
    </row>
    <row r="163" spans="1:3" ht="24">
      <c r="A163" s="42">
        <v>50526</v>
      </c>
      <c r="B163" s="43" t="s">
        <v>108</v>
      </c>
      <c r="C163" s="44" t="s">
        <v>102</v>
      </c>
    </row>
    <row r="164" spans="1:3" ht="24">
      <c r="A164" s="42">
        <v>50580</v>
      </c>
      <c r="B164" s="43" t="s">
        <v>101</v>
      </c>
      <c r="C164" s="44" t="s">
        <v>103</v>
      </c>
    </row>
    <row r="165" spans="1:3" ht="35.450000000000003">
      <c r="A165" s="42">
        <v>50655</v>
      </c>
      <c r="B165" s="43" t="s">
        <v>97</v>
      </c>
      <c r="C165" s="44" t="s">
        <v>105</v>
      </c>
    </row>
    <row r="166" spans="1:3" ht="48.95">
      <c r="A166" s="42">
        <v>50690</v>
      </c>
      <c r="B166" s="43" t="s">
        <v>97</v>
      </c>
      <c r="C166" s="44" t="s">
        <v>106</v>
      </c>
    </row>
    <row r="167" spans="1:3">
      <c r="A167" s="42">
        <v>50711</v>
      </c>
      <c r="B167" s="43" t="s">
        <v>97</v>
      </c>
      <c r="C167" s="44" t="s">
        <v>107</v>
      </c>
    </row>
    <row r="168" spans="1:3" ht="35.450000000000003">
      <c r="A168" s="42">
        <v>50724</v>
      </c>
      <c r="B168" s="43" t="s">
        <v>95</v>
      </c>
      <c r="C168" s="44" t="s">
        <v>109</v>
      </c>
    </row>
    <row r="169" spans="1:3">
      <c r="A169" s="42">
        <v>50764</v>
      </c>
      <c r="B169" s="43" t="s">
        <v>108</v>
      </c>
      <c r="C169" s="44" t="s">
        <v>110</v>
      </c>
    </row>
    <row r="170" spans="1:3" ht="35.450000000000003">
      <c r="A170" s="39">
        <v>50771</v>
      </c>
      <c r="B170" s="40" t="s">
        <v>108</v>
      </c>
      <c r="C170" s="41" t="s">
        <v>94</v>
      </c>
    </row>
    <row r="171" spans="1:3">
      <c r="A171" s="39">
        <v>50822</v>
      </c>
      <c r="B171" s="40" t="s">
        <v>95</v>
      </c>
      <c r="C171" s="41" t="s">
        <v>96</v>
      </c>
    </row>
    <row r="172" spans="1:3">
      <c r="A172" s="39">
        <v>50823</v>
      </c>
      <c r="B172" s="40" t="s">
        <v>97</v>
      </c>
      <c r="C172" s="41" t="s">
        <v>96</v>
      </c>
    </row>
    <row r="173" spans="1:3" ht="24">
      <c r="A173" s="39">
        <v>50868</v>
      </c>
      <c r="B173" s="40" t="s">
        <v>98</v>
      </c>
      <c r="C173" s="41" t="s">
        <v>99</v>
      </c>
    </row>
    <row r="174" spans="1:3">
      <c r="A174" s="39">
        <v>50881</v>
      </c>
      <c r="B174" s="40" t="s">
        <v>101</v>
      </c>
      <c r="C174" s="41" t="s">
        <v>100</v>
      </c>
    </row>
    <row r="175" spans="1:3" ht="24">
      <c r="A175" s="39">
        <v>50891</v>
      </c>
      <c r="B175" s="40" t="s">
        <v>104</v>
      </c>
      <c r="C175" s="41" t="s">
        <v>102</v>
      </c>
    </row>
    <row r="176" spans="1:3" ht="24">
      <c r="A176" s="39">
        <v>50930</v>
      </c>
      <c r="B176" s="40" t="s">
        <v>101</v>
      </c>
      <c r="C176" s="41" t="s">
        <v>103</v>
      </c>
    </row>
    <row r="177" spans="1:3" ht="35.450000000000003">
      <c r="A177" s="39">
        <v>51020</v>
      </c>
      <c r="B177" s="40" t="s">
        <v>93</v>
      </c>
      <c r="C177" s="41" t="s">
        <v>105</v>
      </c>
    </row>
    <row r="178" spans="1:3" ht="48.95">
      <c r="A178" s="39">
        <v>51055</v>
      </c>
      <c r="B178" s="40" t="s">
        <v>93</v>
      </c>
      <c r="C178" s="41" t="s">
        <v>106</v>
      </c>
    </row>
    <row r="179" spans="1:3">
      <c r="A179" s="39">
        <v>51076</v>
      </c>
      <c r="B179" s="40" t="s">
        <v>93</v>
      </c>
      <c r="C179" s="41" t="s">
        <v>107</v>
      </c>
    </row>
    <row r="180" spans="1:3" ht="35.450000000000003">
      <c r="A180" s="39">
        <v>51089</v>
      </c>
      <c r="B180" s="40" t="s">
        <v>97</v>
      </c>
      <c r="C180" s="41" t="s">
        <v>109</v>
      </c>
    </row>
    <row r="181" spans="1:3">
      <c r="A181" s="39">
        <v>51129</v>
      </c>
      <c r="B181" s="40" t="s">
        <v>104</v>
      </c>
      <c r="C181" s="41" t="s">
        <v>110</v>
      </c>
    </row>
    <row r="182" spans="1:3" ht="35.450000000000003">
      <c r="A182" s="42">
        <v>51136</v>
      </c>
      <c r="B182" s="43" t="s">
        <v>104</v>
      </c>
      <c r="C182" s="44" t="s">
        <v>94</v>
      </c>
    </row>
    <row r="183" spans="1:3">
      <c r="A183" s="42">
        <v>51179</v>
      </c>
      <c r="B183" s="43" t="s">
        <v>95</v>
      </c>
      <c r="C183" s="44" t="s">
        <v>96</v>
      </c>
    </row>
    <row r="184" spans="1:3">
      <c r="A184" s="42">
        <v>51180</v>
      </c>
      <c r="B184" s="43" t="s">
        <v>97</v>
      </c>
      <c r="C184" s="44" t="s">
        <v>96</v>
      </c>
    </row>
    <row r="185" spans="1:3" ht="24">
      <c r="A185" s="42">
        <v>51225</v>
      </c>
      <c r="B185" s="43" t="s">
        <v>98</v>
      </c>
      <c r="C185" s="44" t="s">
        <v>99</v>
      </c>
    </row>
    <row r="186" spans="1:3">
      <c r="A186" s="42">
        <v>51247</v>
      </c>
      <c r="B186" s="43" t="s">
        <v>108</v>
      </c>
      <c r="C186" s="44" t="s">
        <v>100</v>
      </c>
    </row>
    <row r="187" spans="1:3" ht="24">
      <c r="A187" s="42">
        <v>51257</v>
      </c>
      <c r="B187" s="43" t="s">
        <v>97</v>
      </c>
      <c r="C187" s="44" t="s">
        <v>102</v>
      </c>
    </row>
    <row r="188" spans="1:3" ht="24">
      <c r="A188" s="42">
        <v>51287</v>
      </c>
      <c r="B188" s="43" t="s">
        <v>101</v>
      </c>
      <c r="C188" s="44" t="s">
        <v>103</v>
      </c>
    </row>
    <row r="189" spans="1:3" ht="35.450000000000003">
      <c r="A189" s="42">
        <v>51386</v>
      </c>
      <c r="B189" s="43" t="s">
        <v>98</v>
      </c>
      <c r="C189" s="44" t="s">
        <v>105</v>
      </c>
    </row>
    <row r="190" spans="1:3" ht="48.95">
      <c r="A190" s="42">
        <v>51421</v>
      </c>
      <c r="B190" s="43" t="s">
        <v>98</v>
      </c>
      <c r="C190" s="44" t="s">
        <v>106</v>
      </c>
    </row>
    <row r="191" spans="1:3">
      <c r="A191" s="42">
        <v>51442</v>
      </c>
      <c r="B191" s="43" t="s">
        <v>98</v>
      </c>
      <c r="C191" s="44" t="s">
        <v>107</v>
      </c>
    </row>
    <row r="192" spans="1:3" ht="35.450000000000003">
      <c r="A192" s="42">
        <v>51455</v>
      </c>
      <c r="B192" s="43" t="s">
        <v>101</v>
      </c>
      <c r="C192" s="44" t="s">
        <v>109</v>
      </c>
    </row>
    <row r="193" spans="1:3">
      <c r="A193" s="42">
        <v>51495</v>
      </c>
      <c r="B193" s="43" t="s">
        <v>97</v>
      </c>
      <c r="C193" s="44" t="s">
        <v>110</v>
      </c>
    </row>
    <row r="194" spans="1:3" ht="35.450000000000003">
      <c r="A194" s="39">
        <v>51502</v>
      </c>
      <c r="B194" s="40" t="s">
        <v>97</v>
      </c>
      <c r="C194" s="41" t="s">
        <v>94</v>
      </c>
    </row>
    <row r="195" spans="1:3">
      <c r="A195" s="39">
        <v>51564</v>
      </c>
      <c r="B195" s="40" t="s">
        <v>95</v>
      </c>
      <c r="C195" s="41" t="s">
        <v>96</v>
      </c>
    </row>
    <row r="196" spans="1:3">
      <c r="A196" s="39">
        <v>51565</v>
      </c>
      <c r="B196" s="40" t="s">
        <v>97</v>
      </c>
      <c r="C196" s="41" t="s">
        <v>96</v>
      </c>
    </row>
    <row r="197" spans="1:3" ht="24">
      <c r="A197" s="39">
        <v>51610</v>
      </c>
      <c r="B197" s="40" t="s">
        <v>98</v>
      </c>
      <c r="C197" s="41" t="s">
        <v>99</v>
      </c>
    </row>
    <row r="198" spans="1:3">
      <c r="A198" s="39">
        <v>51612</v>
      </c>
      <c r="B198" s="40" t="s">
        <v>104</v>
      </c>
      <c r="C198" s="41" t="s">
        <v>100</v>
      </c>
    </row>
    <row r="199" spans="1:3" ht="24">
      <c r="A199" s="39">
        <v>51622</v>
      </c>
      <c r="B199" s="40" t="s">
        <v>93</v>
      </c>
      <c r="C199" s="41" t="s">
        <v>102</v>
      </c>
    </row>
    <row r="200" spans="1:3" ht="24">
      <c r="A200" s="39">
        <v>51672</v>
      </c>
      <c r="B200" s="40" t="s">
        <v>101</v>
      </c>
      <c r="C200" s="41" t="s">
        <v>103</v>
      </c>
    </row>
    <row r="201" spans="1:3" ht="35.450000000000003">
      <c r="A201" s="39">
        <v>51751</v>
      </c>
      <c r="B201" s="40" t="s">
        <v>108</v>
      </c>
      <c r="C201" s="41" t="s">
        <v>105</v>
      </c>
    </row>
    <row r="202" spans="1:3" ht="48.95">
      <c r="A202" s="39">
        <v>51786</v>
      </c>
      <c r="B202" s="40" t="s">
        <v>108</v>
      </c>
      <c r="C202" s="41" t="s">
        <v>106</v>
      </c>
    </row>
    <row r="203" spans="1:3">
      <c r="A203" s="39">
        <v>51807</v>
      </c>
      <c r="B203" s="40" t="s">
        <v>108</v>
      </c>
      <c r="C203" s="41" t="s">
        <v>107</v>
      </c>
    </row>
    <row r="204" spans="1:3" ht="35.450000000000003">
      <c r="A204" s="39">
        <v>51820</v>
      </c>
      <c r="B204" s="40" t="s">
        <v>98</v>
      </c>
      <c r="C204" s="41" t="s">
        <v>109</v>
      </c>
    </row>
    <row r="205" spans="1:3">
      <c r="A205" s="39">
        <v>51860</v>
      </c>
      <c r="B205" s="40" t="s">
        <v>93</v>
      </c>
      <c r="C205" s="41" t="s">
        <v>110</v>
      </c>
    </row>
    <row r="206" spans="1:3" ht="35.450000000000003">
      <c r="A206" s="42">
        <v>51867</v>
      </c>
      <c r="B206" s="43" t="s">
        <v>93</v>
      </c>
      <c r="C206" s="44" t="s">
        <v>94</v>
      </c>
    </row>
    <row r="207" spans="1:3">
      <c r="A207" s="42">
        <v>51914</v>
      </c>
      <c r="B207" s="43" t="s">
        <v>95</v>
      </c>
      <c r="C207" s="44" t="s">
        <v>96</v>
      </c>
    </row>
    <row r="208" spans="1:3">
      <c r="A208" s="42">
        <v>51915</v>
      </c>
      <c r="B208" s="43" t="s">
        <v>97</v>
      </c>
      <c r="C208" s="44" t="s">
        <v>96</v>
      </c>
    </row>
    <row r="209" spans="1:3" ht="24">
      <c r="A209" s="42">
        <v>51960</v>
      </c>
      <c r="B209" s="43" t="s">
        <v>98</v>
      </c>
      <c r="C209" s="44" t="s">
        <v>99</v>
      </c>
    </row>
    <row r="210" spans="1:3">
      <c r="A210" s="42">
        <v>51977</v>
      </c>
      <c r="B210" s="43" t="s">
        <v>95</v>
      </c>
      <c r="C210" s="44" t="s">
        <v>100</v>
      </c>
    </row>
    <row r="211" spans="1:3" ht="24">
      <c r="A211" s="42">
        <v>51987</v>
      </c>
      <c r="B211" s="43" t="s">
        <v>101</v>
      </c>
      <c r="C211" s="44" t="s">
        <v>102</v>
      </c>
    </row>
    <row r="212" spans="1:3" ht="24">
      <c r="A212" s="42">
        <v>52022</v>
      </c>
      <c r="B212" s="43" t="s">
        <v>101</v>
      </c>
      <c r="C212" s="44" t="s">
        <v>103</v>
      </c>
    </row>
    <row r="213" spans="1:3" ht="35.450000000000003">
      <c r="A213" s="42">
        <v>52116</v>
      </c>
      <c r="B213" s="43" t="s">
        <v>104</v>
      </c>
      <c r="C213" s="44" t="s">
        <v>105</v>
      </c>
    </row>
    <row r="214" spans="1:3" ht="48.95">
      <c r="A214" s="42">
        <v>52151</v>
      </c>
      <c r="B214" s="43" t="s">
        <v>104</v>
      </c>
      <c r="C214" s="44" t="s">
        <v>106</v>
      </c>
    </row>
    <row r="215" spans="1:3">
      <c r="A215" s="42">
        <v>52172</v>
      </c>
      <c r="B215" s="43" t="s">
        <v>104</v>
      </c>
      <c r="C215" s="44" t="s">
        <v>107</v>
      </c>
    </row>
    <row r="216" spans="1:3" ht="35.450000000000003">
      <c r="A216" s="42">
        <v>52185</v>
      </c>
      <c r="B216" s="43" t="s">
        <v>108</v>
      </c>
      <c r="C216" s="44" t="s">
        <v>109</v>
      </c>
    </row>
    <row r="217" spans="1:3">
      <c r="A217" s="42">
        <v>52225</v>
      </c>
      <c r="B217" s="43" t="s">
        <v>101</v>
      </c>
      <c r="C217" s="44" t="s">
        <v>110</v>
      </c>
    </row>
    <row r="218" spans="1:3" ht="35.450000000000003">
      <c r="A218" s="39">
        <v>52232</v>
      </c>
      <c r="B218" s="40" t="s">
        <v>101</v>
      </c>
      <c r="C218" s="41" t="s">
        <v>94</v>
      </c>
    </row>
    <row r="219" spans="1:3">
      <c r="A219" s="39">
        <v>52271</v>
      </c>
      <c r="B219" s="40" t="s">
        <v>95</v>
      </c>
      <c r="C219" s="41" t="s">
        <v>96</v>
      </c>
    </row>
    <row r="220" spans="1:3">
      <c r="A220" s="39">
        <v>52272</v>
      </c>
      <c r="B220" s="40" t="s">
        <v>97</v>
      </c>
      <c r="C220" s="41" t="s">
        <v>96</v>
      </c>
    </row>
    <row r="221" spans="1:3" ht="24">
      <c r="A221" s="39">
        <v>52317</v>
      </c>
      <c r="B221" s="40" t="s">
        <v>98</v>
      </c>
      <c r="C221" s="41" t="s">
        <v>99</v>
      </c>
    </row>
    <row r="222" spans="1:3">
      <c r="A222" s="39">
        <v>52342</v>
      </c>
      <c r="B222" s="40" t="s">
        <v>97</v>
      </c>
      <c r="C222" s="41" t="s">
        <v>100</v>
      </c>
    </row>
    <row r="223" spans="1:3" ht="24">
      <c r="A223" s="39">
        <v>52352</v>
      </c>
      <c r="B223" s="40" t="s">
        <v>98</v>
      </c>
      <c r="C223" s="41" t="s">
        <v>102</v>
      </c>
    </row>
    <row r="224" spans="1:3" ht="24">
      <c r="A224" s="39">
        <v>52379</v>
      </c>
      <c r="B224" s="40" t="s">
        <v>101</v>
      </c>
      <c r="C224" s="41" t="s">
        <v>103</v>
      </c>
    </row>
    <row r="225" spans="1:3" ht="35.450000000000003">
      <c r="A225" s="39">
        <v>52481</v>
      </c>
      <c r="B225" s="40" t="s">
        <v>95</v>
      </c>
      <c r="C225" s="41" t="s">
        <v>105</v>
      </c>
    </row>
    <row r="226" spans="1:3" ht="48.95">
      <c r="A226" s="39">
        <v>52516</v>
      </c>
      <c r="B226" s="40" t="s">
        <v>95</v>
      </c>
      <c r="C226" s="41" t="s">
        <v>106</v>
      </c>
    </row>
    <row r="227" spans="1:3">
      <c r="A227" s="39">
        <v>52537</v>
      </c>
      <c r="B227" s="40" t="s">
        <v>95</v>
      </c>
      <c r="C227" s="41" t="s">
        <v>107</v>
      </c>
    </row>
    <row r="228" spans="1:3" ht="35.450000000000003">
      <c r="A228" s="39">
        <v>52550</v>
      </c>
      <c r="B228" s="40" t="s">
        <v>104</v>
      </c>
      <c r="C228" s="41" t="s">
        <v>109</v>
      </c>
    </row>
    <row r="229" spans="1:3">
      <c r="A229" s="39">
        <v>52590</v>
      </c>
      <c r="B229" s="40" t="s">
        <v>98</v>
      </c>
      <c r="C229" s="41" t="s">
        <v>110</v>
      </c>
    </row>
    <row r="230" spans="1:3" ht="35.450000000000003">
      <c r="A230" s="42">
        <v>52597</v>
      </c>
      <c r="B230" s="43" t="s">
        <v>98</v>
      </c>
      <c r="C230" s="44" t="s">
        <v>94</v>
      </c>
    </row>
    <row r="231" spans="1:3">
      <c r="A231" s="42">
        <v>52656</v>
      </c>
      <c r="B231" s="43" t="s">
        <v>95</v>
      </c>
      <c r="C231" s="44" t="s">
        <v>96</v>
      </c>
    </row>
    <row r="232" spans="1:3">
      <c r="A232" s="42">
        <v>52657</v>
      </c>
      <c r="B232" s="43" t="s">
        <v>97</v>
      </c>
      <c r="C232" s="44" t="s">
        <v>96</v>
      </c>
    </row>
    <row r="233" spans="1:3" ht="24">
      <c r="A233" s="42">
        <v>52702</v>
      </c>
      <c r="B233" s="43" t="s">
        <v>98</v>
      </c>
      <c r="C233" s="44" t="s">
        <v>99</v>
      </c>
    </row>
    <row r="234" spans="1:3">
      <c r="A234" s="42">
        <v>52708</v>
      </c>
      <c r="B234" s="43" t="s">
        <v>101</v>
      </c>
      <c r="C234" s="44" t="s">
        <v>100</v>
      </c>
    </row>
    <row r="235" spans="1:3" ht="24">
      <c r="A235" s="42">
        <v>52718</v>
      </c>
      <c r="B235" s="43" t="s">
        <v>104</v>
      </c>
      <c r="C235" s="44" t="s">
        <v>102</v>
      </c>
    </row>
    <row r="236" spans="1:3" ht="24">
      <c r="A236" s="42">
        <v>52764</v>
      </c>
      <c r="B236" s="43" t="s">
        <v>101</v>
      </c>
      <c r="C236" s="44" t="s">
        <v>103</v>
      </c>
    </row>
    <row r="237" spans="1:3" ht="35.450000000000003">
      <c r="A237" s="42">
        <v>52847</v>
      </c>
      <c r="B237" s="43" t="s">
        <v>93</v>
      </c>
      <c r="C237" s="44" t="s">
        <v>105</v>
      </c>
    </row>
    <row r="238" spans="1:3" ht="48.95">
      <c r="A238" s="42">
        <v>52882</v>
      </c>
      <c r="B238" s="43" t="s">
        <v>93</v>
      </c>
      <c r="C238" s="44" t="s">
        <v>106</v>
      </c>
    </row>
    <row r="239" spans="1:3">
      <c r="A239" s="42">
        <v>52903</v>
      </c>
      <c r="B239" s="43" t="s">
        <v>93</v>
      </c>
      <c r="C239" s="44" t="s">
        <v>107</v>
      </c>
    </row>
    <row r="240" spans="1:3" ht="35.450000000000003">
      <c r="A240" s="42">
        <v>52916</v>
      </c>
      <c r="B240" s="43" t="s">
        <v>97</v>
      </c>
      <c r="C240" s="44" t="s">
        <v>109</v>
      </c>
    </row>
    <row r="241" spans="1:3">
      <c r="A241" s="42">
        <v>52956</v>
      </c>
      <c r="B241" s="43" t="s">
        <v>104</v>
      </c>
      <c r="C241" s="44" t="s">
        <v>110</v>
      </c>
    </row>
    <row r="242" spans="1:3" ht="35.450000000000003">
      <c r="A242" s="39">
        <v>52963</v>
      </c>
      <c r="B242" s="40" t="s">
        <v>104</v>
      </c>
      <c r="C242" s="41" t="s">
        <v>94</v>
      </c>
    </row>
    <row r="243" spans="1:3">
      <c r="A243" s="39">
        <v>53013</v>
      </c>
      <c r="B243" s="40" t="s">
        <v>95</v>
      </c>
      <c r="C243" s="41" t="s">
        <v>96</v>
      </c>
    </row>
    <row r="244" spans="1:3">
      <c r="A244" s="39">
        <v>53014</v>
      </c>
      <c r="B244" s="40" t="s">
        <v>97</v>
      </c>
      <c r="C244" s="41" t="s">
        <v>96</v>
      </c>
    </row>
    <row r="245" spans="1:3" ht="24">
      <c r="A245" s="39">
        <v>53059</v>
      </c>
      <c r="B245" s="40" t="s">
        <v>98</v>
      </c>
      <c r="C245" s="41" t="s">
        <v>99</v>
      </c>
    </row>
    <row r="246" spans="1:3">
      <c r="A246" s="39">
        <v>53073</v>
      </c>
      <c r="B246" s="40" t="s">
        <v>98</v>
      </c>
      <c r="C246" s="41" t="s">
        <v>100</v>
      </c>
    </row>
    <row r="247" spans="1:3" ht="24">
      <c r="A247" s="39">
        <v>53083</v>
      </c>
      <c r="B247" s="40" t="s">
        <v>95</v>
      </c>
      <c r="C247" s="41" t="s">
        <v>102</v>
      </c>
    </row>
    <row r="248" spans="1:3" ht="24">
      <c r="A248" s="39">
        <v>53121</v>
      </c>
      <c r="B248" s="40" t="s">
        <v>101</v>
      </c>
      <c r="C248" s="41" t="s">
        <v>103</v>
      </c>
    </row>
    <row r="249" spans="1:3" ht="35.450000000000003">
      <c r="A249" s="39">
        <v>53212</v>
      </c>
      <c r="B249" s="40" t="s">
        <v>101</v>
      </c>
      <c r="C249" s="41" t="s">
        <v>105</v>
      </c>
    </row>
    <row r="250" spans="1:3" ht="48.95">
      <c r="A250" s="39">
        <v>53247</v>
      </c>
      <c r="B250" s="40" t="s">
        <v>101</v>
      </c>
      <c r="C250" s="41" t="s">
        <v>106</v>
      </c>
    </row>
    <row r="251" spans="1:3">
      <c r="A251" s="39">
        <v>53268</v>
      </c>
      <c r="B251" s="40" t="s">
        <v>101</v>
      </c>
      <c r="C251" s="41" t="s">
        <v>107</v>
      </c>
    </row>
    <row r="252" spans="1:3" ht="35.450000000000003">
      <c r="A252" s="39">
        <v>53281</v>
      </c>
      <c r="B252" s="40" t="s">
        <v>93</v>
      </c>
      <c r="C252" s="41" t="s">
        <v>109</v>
      </c>
    </row>
    <row r="253" spans="1:3">
      <c r="A253" s="39">
        <v>53321</v>
      </c>
      <c r="B253" s="40" t="s">
        <v>95</v>
      </c>
      <c r="C253" s="41" t="s">
        <v>110</v>
      </c>
    </row>
    <row r="254" spans="1:3" ht="35.450000000000003">
      <c r="A254" s="42">
        <v>53328</v>
      </c>
      <c r="B254" s="43" t="s">
        <v>95</v>
      </c>
      <c r="C254" s="44" t="s">
        <v>94</v>
      </c>
    </row>
    <row r="255" spans="1:3">
      <c r="A255" s="42">
        <v>53363</v>
      </c>
      <c r="B255" s="43" t="s">
        <v>95</v>
      </c>
      <c r="C255" s="44" t="s">
        <v>96</v>
      </c>
    </row>
    <row r="256" spans="1:3">
      <c r="A256" s="42">
        <v>53364</v>
      </c>
      <c r="B256" s="43" t="s">
        <v>97</v>
      </c>
      <c r="C256" s="44" t="s">
        <v>96</v>
      </c>
    </row>
    <row r="257" spans="1:3" ht="24">
      <c r="A257" s="42">
        <v>53409</v>
      </c>
      <c r="B257" s="43" t="s">
        <v>98</v>
      </c>
      <c r="C257" s="44" t="s">
        <v>99</v>
      </c>
    </row>
    <row r="258" spans="1:3">
      <c r="A258" s="42">
        <v>53438</v>
      </c>
      <c r="B258" s="43" t="s">
        <v>108</v>
      </c>
      <c r="C258" s="44" t="s">
        <v>100</v>
      </c>
    </row>
    <row r="259" spans="1:3" ht="24">
      <c r="A259" s="42">
        <v>53448</v>
      </c>
      <c r="B259" s="43" t="s">
        <v>97</v>
      </c>
      <c r="C259" s="44" t="s">
        <v>102</v>
      </c>
    </row>
    <row r="260" spans="1:3" ht="24">
      <c r="A260" s="42">
        <v>53471</v>
      </c>
      <c r="B260" s="43" t="s">
        <v>101</v>
      </c>
      <c r="C260" s="44" t="s">
        <v>103</v>
      </c>
    </row>
    <row r="261" spans="1:3" ht="35.450000000000003">
      <c r="A261" s="42">
        <v>53577</v>
      </c>
      <c r="B261" s="43" t="s">
        <v>98</v>
      </c>
      <c r="C261" s="44" t="s">
        <v>105</v>
      </c>
    </row>
    <row r="262" spans="1:3" ht="48.95">
      <c r="A262" s="42">
        <v>53612</v>
      </c>
      <c r="B262" s="43" t="s">
        <v>98</v>
      </c>
      <c r="C262" s="44" t="s">
        <v>106</v>
      </c>
    </row>
    <row r="263" spans="1:3">
      <c r="A263" s="42">
        <v>53633</v>
      </c>
      <c r="B263" s="43" t="s">
        <v>98</v>
      </c>
      <c r="C263" s="44" t="s">
        <v>107</v>
      </c>
    </row>
    <row r="264" spans="1:3" ht="35.450000000000003">
      <c r="A264" s="42">
        <v>53646</v>
      </c>
      <c r="B264" s="43" t="s">
        <v>101</v>
      </c>
      <c r="C264" s="44" t="s">
        <v>109</v>
      </c>
    </row>
    <row r="265" spans="1:3">
      <c r="A265" s="42">
        <v>53686</v>
      </c>
      <c r="B265" s="43" t="s">
        <v>97</v>
      </c>
      <c r="C265" s="44" t="s">
        <v>110</v>
      </c>
    </row>
    <row r="266" spans="1:3" ht="35.450000000000003">
      <c r="A266" s="39">
        <v>53693</v>
      </c>
      <c r="B266" s="40" t="s">
        <v>97</v>
      </c>
      <c r="C266" s="41" t="s">
        <v>94</v>
      </c>
    </row>
    <row r="267" spans="1:3">
      <c r="A267" s="39">
        <v>53748</v>
      </c>
      <c r="B267" s="40" t="s">
        <v>95</v>
      </c>
      <c r="C267" s="41" t="s">
        <v>96</v>
      </c>
    </row>
    <row r="268" spans="1:3">
      <c r="A268" s="39">
        <v>53749</v>
      </c>
      <c r="B268" s="40" t="s">
        <v>97</v>
      </c>
      <c r="C268" s="41" t="s">
        <v>96</v>
      </c>
    </row>
    <row r="269" spans="1:3" ht="24">
      <c r="A269" s="39">
        <v>53794</v>
      </c>
      <c r="B269" s="40" t="s">
        <v>98</v>
      </c>
      <c r="C269" s="41" t="s">
        <v>99</v>
      </c>
    </row>
    <row r="270" spans="1:3">
      <c r="A270" s="39">
        <v>53803</v>
      </c>
      <c r="B270" s="40" t="s">
        <v>97</v>
      </c>
      <c r="C270" s="41" t="s">
        <v>100</v>
      </c>
    </row>
    <row r="271" spans="1:3" ht="24">
      <c r="A271" s="39">
        <v>53813</v>
      </c>
      <c r="B271" s="40" t="s">
        <v>93</v>
      </c>
      <c r="C271" s="41" t="s">
        <v>102</v>
      </c>
    </row>
    <row r="272" spans="1:3" ht="24">
      <c r="A272" s="39">
        <v>53856</v>
      </c>
      <c r="B272" s="40" t="s">
        <v>101</v>
      </c>
      <c r="C272" s="41" t="s">
        <v>103</v>
      </c>
    </row>
    <row r="273" spans="1:3" ht="35.450000000000003">
      <c r="A273" s="39">
        <v>53942</v>
      </c>
      <c r="B273" s="40" t="s">
        <v>108</v>
      </c>
      <c r="C273" s="41" t="s">
        <v>105</v>
      </c>
    </row>
    <row r="274" spans="1:3" ht="48.95">
      <c r="A274" s="39">
        <v>53977</v>
      </c>
      <c r="B274" s="40" t="s">
        <v>108</v>
      </c>
      <c r="C274" s="41" t="s">
        <v>106</v>
      </c>
    </row>
    <row r="275" spans="1:3">
      <c r="A275" s="39">
        <v>53998</v>
      </c>
      <c r="B275" s="40" t="s">
        <v>108</v>
      </c>
      <c r="C275" s="41" t="s">
        <v>107</v>
      </c>
    </row>
    <row r="276" spans="1:3" ht="35.450000000000003">
      <c r="A276" s="39">
        <v>54011</v>
      </c>
      <c r="B276" s="40" t="s">
        <v>98</v>
      </c>
      <c r="C276" s="41" t="s">
        <v>109</v>
      </c>
    </row>
    <row r="277" spans="1:3">
      <c r="A277" s="39">
        <v>54051</v>
      </c>
      <c r="B277" s="40" t="s">
        <v>93</v>
      </c>
      <c r="C277" s="41" t="s">
        <v>110</v>
      </c>
    </row>
    <row r="278" spans="1:3" ht="35.450000000000003">
      <c r="A278" s="42">
        <v>54058</v>
      </c>
      <c r="B278" s="43" t="s">
        <v>93</v>
      </c>
      <c r="C278" s="44" t="s">
        <v>94</v>
      </c>
    </row>
    <row r="279" spans="1:3">
      <c r="A279" s="42">
        <v>54105</v>
      </c>
      <c r="B279" s="43" t="s">
        <v>95</v>
      </c>
      <c r="C279" s="44" t="s">
        <v>96</v>
      </c>
    </row>
    <row r="280" spans="1:3">
      <c r="A280" s="42">
        <v>54106</v>
      </c>
      <c r="B280" s="43" t="s">
        <v>97</v>
      </c>
      <c r="C280" s="44" t="s">
        <v>96</v>
      </c>
    </row>
    <row r="281" spans="1:3" ht="24">
      <c r="A281" s="42">
        <v>54151</v>
      </c>
      <c r="B281" s="43" t="s">
        <v>98</v>
      </c>
      <c r="C281" s="44" t="s">
        <v>99</v>
      </c>
    </row>
    <row r="282" spans="1:3">
      <c r="A282" s="42">
        <v>54169</v>
      </c>
      <c r="B282" s="43" t="s">
        <v>97</v>
      </c>
      <c r="C282" s="44" t="s">
        <v>100</v>
      </c>
    </row>
    <row r="283" spans="1:3" ht="24">
      <c r="A283" s="42">
        <v>54179</v>
      </c>
      <c r="B283" s="43" t="s">
        <v>98</v>
      </c>
      <c r="C283" s="44" t="s">
        <v>102</v>
      </c>
    </row>
    <row r="284" spans="1:3" ht="24">
      <c r="A284" s="42">
        <v>54213</v>
      </c>
      <c r="B284" s="43" t="s">
        <v>101</v>
      </c>
      <c r="C284" s="44" t="s">
        <v>103</v>
      </c>
    </row>
    <row r="285" spans="1:3" ht="35.450000000000003">
      <c r="A285" s="42">
        <v>54308</v>
      </c>
      <c r="B285" s="43" t="s">
        <v>95</v>
      </c>
      <c r="C285" s="44" t="s">
        <v>105</v>
      </c>
    </row>
    <row r="286" spans="1:3" ht="48.95">
      <c r="A286" s="42">
        <v>54343</v>
      </c>
      <c r="B286" s="43" t="s">
        <v>95</v>
      </c>
      <c r="C286" s="44" t="s">
        <v>106</v>
      </c>
    </row>
    <row r="287" spans="1:3">
      <c r="A287" s="42">
        <v>54364</v>
      </c>
      <c r="B287" s="43" t="s">
        <v>95</v>
      </c>
      <c r="C287" s="44" t="s">
        <v>107</v>
      </c>
    </row>
    <row r="288" spans="1:3" ht="35.450000000000003">
      <c r="A288" s="42">
        <v>54377</v>
      </c>
      <c r="B288" s="43" t="s">
        <v>104</v>
      </c>
      <c r="C288" s="44" t="s">
        <v>109</v>
      </c>
    </row>
    <row r="289" spans="1:3">
      <c r="A289" s="42">
        <v>54417</v>
      </c>
      <c r="B289" s="43" t="s">
        <v>98</v>
      </c>
      <c r="C289" s="44" t="s">
        <v>110</v>
      </c>
    </row>
    <row r="290" spans="1:3" ht="35.450000000000003">
      <c r="A290" s="39">
        <v>54424</v>
      </c>
      <c r="B290" s="40" t="s">
        <v>98</v>
      </c>
      <c r="C290" s="41" t="s">
        <v>94</v>
      </c>
    </row>
    <row r="291" spans="1:3">
      <c r="A291" s="39">
        <v>54483</v>
      </c>
      <c r="B291" s="40" t="s">
        <v>95</v>
      </c>
      <c r="C291" s="41" t="s">
        <v>96</v>
      </c>
    </row>
    <row r="292" spans="1:3">
      <c r="A292" s="39">
        <v>54484</v>
      </c>
      <c r="B292" s="40" t="s">
        <v>97</v>
      </c>
      <c r="C292" s="41" t="s">
        <v>96</v>
      </c>
    </row>
    <row r="293" spans="1:3" ht="24">
      <c r="A293" s="39">
        <v>54529</v>
      </c>
      <c r="B293" s="40" t="s">
        <v>98</v>
      </c>
      <c r="C293" s="41" t="s">
        <v>99</v>
      </c>
    </row>
    <row r="294" spans="1:3">
      <c r="A294" s="39">
        <v>54534</v>
      </c>
      <c r="B294" s="40" t="s">
        <v>93</v>
      </c>
      <c r="C294" s="41" t="s">
        <v>100</v>
      </c>
    </row>
    <row r="295" spans="1:3" ht="24">
      <c r="A295" s="39">
        <v>54544</v>
      </c>
      <c r="B295" s="40" t="s">
        <v>108</v>
      </c>
      <c r="C295" s="41" t="s">
        <v>102</v>
      </c>
    </row>
    <row r="296" spans="1:3" ht="24">
      <c r="A296" s="39">
        <v>54591</v>
      </c>
      <c r="B296" s="40" t="s">
        <v>101</v>
      </c>
      <c r="C296" s="41" t="s">
        <v>103</v>
      </c>
    </row>
    <row r="297" spans="1:3" ht="35.450000000000003">
      <c r="A297" s="39">
        <v>54673</v>
      </c>
      <c r="B297" s="40" t="s">
        <v>97</v>
      </c>
      <c r="C297" s="41" t="s">
        <v>105</v>
      </c>
    </row>
    <row r="298" spans="1:3" ht="48.95">
      <c r="A298" s="39">
        <v>54708</v>
      </c>
      <c r="B298" s="40" t="s">
        <v>97</v>
      </c>
      <c r="C298" s="41" t="s">
        <v>106</v>
      </c>
    </row>
    <row r="299" spans="1:3">
      <c r="A299" s="39">
        <v>54729</v>
      </c>
      <c r="B299" s="40" t="s">
        <v>97</v>
      </c>
      <c r="C299" s="41" t="s">
        <v>107</v>
      </c>
    </row>
    <row r="300" spans="1:3" ht="35.450000000000003">
      <c r="A300" s="39">
        <v>54742</v>
      </c>
      <c r="B300" s="40" t="s">
        <v>95</v>
      </c>
      <c r="C300" s="41" t="s">
        <v>109</v>
      </c>
    </row>
    <row r="301" spans="1:3">
      <c r="A301" s="39">
        <v>54782</v>
      </c>
      <c r="B301" s="40" t="s">
        <v>108</v>
      </c>
      <c r="C301" s="41" t="s">
        <v>110</v>
      </c>
    </row>
    <row r="302" spans="1:3" ht="35.450000000000003">
      <c r="A302" s="42">
        <v>54789</v>
      </c>
      <c r="B302" s="43" t="s">
        <v>108</v>
      </c>
      <c r="C302" s="44" t="s">
        <v>94</v>
      </c>
    </row>
    <row r="303" spans="1:3">
      <c r="A303" s="42">
        <v>54840</v>
      </c>
      <c r="B303" s="43" t="s">
        <v>95</v>
      </c>
      <c r="C303" s="44" t="s">
        <v>96</v>
      </c>
    </row>
    <row r="304" spans="1:3">
      <c r="A304" s="42">
        <v>54841</v>
      </c>
      <c r="B304" s="43" t="s">
        <v>97</v>
      </c>
      <c r="C304" s="44" t="s">
        <v>96</v>
      </c>
    </row>
    <row r="305" spans="1:3" ht="24">
      <c r="A305" s="42">
        <v>54886</v>
      </c>
      <c r="B305" s="43" t="s">
        <v>98</v>
      </c>
      <c r="C305" s="44" t="s">
        <v>99</v>
      </c>
    </row>
    <row r="306" spans="1:3">
      <c r="A306" s="42">
        <v>54899</v>
      </c>
      <c r="B306" s="43" t="s">
        <v>101</v>
      </c>
      <c r="C306" s="44" t="s">
        <v>100</v>
      </c>
    </row>
    <row r="307" spans="1:3" ht="24">
      <c r="A307" s="42">
        <v>54909</v>
      </c>
      <c r="B307" s="43" t="s">
        <v>104</v>
      </c>
      <c r="C307" s="44" t="s">
        <v>102</v>
      </c>
    </row>
    <row r="308" spans="1:3" ht="24">
      <c r="A308" s="42">
        <v>54948</v>
      </c>
      <c r="B308" s="43" t="s">
        <v>101</v>
      </c>
      <c r="C308" s="44" t="s">
        <v>103</v>
      </c>
    </row>
    <row r="309" spans="1:3" ht="35.450000000000003">
      <c r="A309" s="42">
        <v>55038</v>
      </c>
      <c r="B309" s="43" t="s">
        <v>93</v>
      </c>
      <c r="C309" s="44" t="s">
        <v>105</v>
      </c>
    </row>
    <row r="310" spans="1:3" ht="48.95">
      <c r="A310" s="42">
        <v>55073</v>
      </c>
      <c r="B310" s="43" t="s">
        <v>93</v>
      </c>
      <c r="C310" s="44" t="s">
        <v>106</v>
      </c>
    </row>
    <row r="311" spans="1:3">
      <c r="A311" s="42">
        <v>55094</v>
      </c>
      <c r="B311" s="43" t="s">
        <v>93</v>
      </c>
      <c r="C311" s="44" t="s">
        <v>107</v>
      </c>
    </row>
    <row r="312" spans="1:3" ht="35.450000000000003">
      <c r="A312" s="42">
        <v>55107</v>
      </c>
      <c r="B312" s="43" t="s">
        <v>97</v>
      </c>
      <c r="C312" s="44" t="s">
        <v>109</v>
      </c>
    </row>
    <row r="313" spans="1:3">
      <c r="A313" s="42">
        <v>55147</v>
      </c>
      <c r="B313" s="43" t="s">
        <v>104</v>
      </c>
      <c r="C313" s="44" t="s">
        <v>110</v>
      </c>
    </row>
    <row r="314" spans="1:3" ht="35.450000000000003">
      <c r="A314" s="39">
        <v>55154</v>
      </c>
      <c r="B314" s="40" t="s">
        <v>104</v>
      </c>
      <c r="C314" s="41" t="s">
        <v>94</v>
      </c>
    </row>
    <row r="315" spans="1:3">
      <c r="A315" s="39">
        <v>55197</v>
      </c>
      <c r="B315" s="40" t="s">
        <v>95</v>
      </c>
      <c r="C315" s="41" t="s">
        <v>96</v>
      </c>
    </row>
    <row r="316" spans="1:3">
      <c r="A316" s="39">
        <v>55198</v>
      </c>
      <c r="B316" s="40" t="s">
        <v>97</v>
      </c>
      <c r="C316" s="41" t="s">
        <v>96</v>
      </c>
    </row>
    <row r="317" spans="1:3" ht="24">
      <c r="A317" s="39">
        <v>55243</v>
      </c>
      <c r="B317" s="40" t="s">
        <v>98</v>
      </c>
      <c r="C317" s="41" t="s">
        <v>99</v>
      </c>
    </row>
    <row r="318" spans="1:3">
      <c r="A318" s="39">
        <v>55264</v>
      </c>
      <c r="B318" s="40" t="s">
        <v>98</v>
      </c>
      <c r="C318" s="41" t="s">
        <v>100</v>
      </c>
    </row>
    <row r="319" spans="1:3" ht="24">
      <c r="A319" s="39">
        <v>55274</v>
      </c>
      <c r="B319" s="40" t="s">
        <v>95</v>
      </c>
      <c r="C319" s="41" t="s">
        <v>102</v>
      </c>
    </row>
    <row r="320" spans="1:3" ht="24">
      <c r="A320" s="39">
        <v>55305</v>
      </c>
      <c r="B320" s="40" t="s">
        <v>101</v>
      </c>
      <c r="C320" s="41" t="s">
        <v>103</v>
      </c>
    </row>
    <row r="321" spans="1:3" ht="35.450000000000003">
      <c r="A321" s="39">
        <v>55403</v>
      </c>
      <c r="B321" s="40" t="s">
        <v>101</v>
      </c>
      <c r="C321" s="41" t="s">
        <v>105</v>
      </c>
    </row>
    <row r="322" spans="1:3" ht="48.95">
      <c r="A322" s="39">
        <v>55438</v>
      </c>
      <c r="B322" s="40" t="s">
        <v>101</v>
      </c>
      <c r="C322" s="41" t="s">
        <v>106</v>
      </c>
    </row>
    <row r="323" spans="1:3">
      <c r="A323" s="39">
        <v>55459</v>
      </c>
      <c r="B323" s="40" t="s">
        <v>101</v>
      </c>
      <c r="C323" s="41" t="s">
        <v>107</v>
      </c>
    </row>
    <row r="324" spans="1:3" ht="35.450000000000003">
      <c r="A324" s="39">
        <v>55472</v>
      </c>
      <c r="B324" s="40" t="s">
        <v>93</v>
      </c>
      <c r="C324" s="41" t="s">
        <v>109</v>
      </c>
    </row>
    <row r="325" spans="1:3">
      <c r="A325" s="39">
        <v>55512</v>
      </c>
      <c r="B325" s="40" t="s">
        <v>95</v>
      </c>
      <c r="C325" s="41" t="s">
        <v>110</v>
      </c>
    </row>
    <row r="326" spans="1:3" ht="35.450000000000003">
      <c r="A326" s="42">
        <v>55519</v>
      </c>
      <c r="B326" s="43" t="s">
        <v>95</v>
      </c>
      <c r="C326" s="44" t="s">
        <v>94</v>
      </c>
    </row>
    <row r="327" spans="1:3">
      <c r="A327" s="42">
        <v>55582</v>
      </c>
      <c r="B327" s="43" t="s">
        <v>95</v>
      </c>
      <c r="C327" s="44" t="s">
        <v>96</v>
      </c>
    </row>
    <row r="328" spans="1:3">
      <c r="A328" s="42">
        <v>55583</v>
      </c>
      <c r="B328" s="43" t="s">
        <v>97</v>
      </c>
      <c r="C328" s="44" t="s">
        <v>96</v>
      </c>
    </row>
    <row r="329" spans="1:3" ht="24">
      <c r="A329" s="42">
        <v>55628</v>
      </c>
      <c r="B329" s="43" t="s">
        <v>98</v>
      </c>
      <c r="C329" s="44" t="s">
        <v>99</v>
      </c>
    </row>
    <row r="330" spans="1:3">
      <c r="A330" s="42">
        <v>55630</v>
      </c>
      <c r="B330" s="43" t="s">
        <v>104</v>
      </c>
      <c r="C330" s="44" t="s">
        <v>100</v>
      </c>
    </row>
    <row r="331" spans="1:3" ht="24">
      <c r="A331" s="42">
        <v>55640</v>
      </c>
      <c r="B331" s="43" t="s">
        <v>93</v>
      </c>
      <c r="C331" s="44" t="s">
        <v>102</v>
      </c>
    </row>
    <row r="332" spans="1:3" ht="24">
      <c r="A332" s="42">
        <v>55690</v>
      </c>
      <c r="B332" s="43" t="s">
        <v>101</v>
      </c>
      <c r="C332" s="44" t="s">
        <v>103</v>
      </c>
    </row>
    <row r="333" spans="1:3" ht="35.450000000000003">
      <c r="A333" s="42">
        <v>55769</v>
      </c>
      <c r="B333" s="43" t="s">
        <v>108</v>
      </c>
      <c r="C333" s="44" t="s">
        <v>105</v>
      </c>
    </row>
    <row r="334" spans="1:3" ht="48.95">
      <c r="A334" s="42">
        <v>55804</v>
      </c>
      <c r="B334" s="43" t="s">
        <v>108</v>
      </c>
      <c r="C334" s="44" t="s">
        <v>106</v>
      </c>
    </row>
    <row r="335" spans="1:3">
      <c r="A335" s="42">
        <v>55825</v>
      </c>
      <c r="B335" s="43" t="s">
        <v>108</v>
      </c>
      <c r="C335" s="44" t="s">
        <v>107</v>
      </c>
    </row>
    <row r="336" spans="1:3" ht="35.450000000000003">
      <c r="A336" s="42">
        <v>55838</v>
      </c>
      <c r="B336" s="43" t="s">
        <v>98</v>
      </c>
      <c r="C336" s="44" t="s">
        <v>109</v>
      </c>
    </row>
    <row r="337" spans="1:3">
      <c r="A337" s="42">
        <v>55878</v>
      </c>
      <c r="B337" s="43" t="s">
        <v>93</v>
      </c>
      <c r="C337" s="44" t="s">
        <v>110</v>
      </c>
    </row>
    <row r="338" spans="1:3" ht="35.450000000000003">
      <c r="A338" s="39">
        <v>55885</v>
      </c>
      <c r="B338" s="40" t="s">
        <v>93</v>
      </c>
      <c r="C338" s="41" t="s">
        <v>94</v>
      </c>
    </row>
    <row r="339" spans="1:3">
      <c r="A339" s="39">
        <v>55932</v>
      </c>
      <c r="B339" s="40" t="s">
        <v>95</v>
      </c>
      <c r="C339" s="41" t="s">
        <v>96</v>
      </c>
    </row>
    <row r="340" spans="1:3">
      <c r="A340" s="39">
        <v>55933</v>
      </c>
      <c r="B340" s="40" t="s">
        <v>97</v>
      </c>
      <c r="C340" s="41" t="s">
        <v>96</v>
      </c>
    </row>
    <row r="341" spans="1:3" ht="24">
      <c r="A341" s="39">
        <v>55978</v>
      </c>
      <c r="B341" s="40" t="s">
        <v>98</v>
      </c>
      <c r="C341" s="41" t="s">
        <v>99</v>
      </c>
    </row>
    <row r="342" spans="1:3">
      <c r="A342" s="39">
        <v>55995</v>
      </c>
      <c r="B342" s="40" t="s">
        <v>95</v>
      </c>
      <c r="C342" s="41" t="s">
        <v>100</v>
      </c>
    </row>
    <row r="343" spans="1:3" ht="24">
      <c r="A343" s="39">
        <v>56005</v>
      </c>
      <c r="B343" s="40" t="s">
        <v>101</v>
      </c>
      <c r="C343" s="41" t="s">
        <v>102</v>
      </c>
    </row>
    <row r="344" spans="1:3" ht="24">
      <c r="A344" s="39">
        <v>56040</v>
      </c>
      <c r="B344" s="40" t="s">
        <v>101</v>
      </c>
      <c r="C344" s="41" t="s">
        <v>103</v>
      </c>
    </row>
    <row r="345" spans="1:3" ht="35.450000000000003">
      <c r="A345" s="39">
        <v>56134</v>
      </c>
      <c r="B345" s="40" t="s">
        <v>104</v>
      </c>
      <c r="C345" s="41" t="s">
        <v>105</v>
      </c>
    </row>
    <row r="346" spans="1:3" ht="48.95">
      <c r="A346" s="39">
        <v>56169</v>
      </c>
      <c r="B346" s="40" t="s">
        <v>104</v>
      </c>
      <c r="C346" s="41" t="s">
        <v>106</v>
      </c>
    </row>
    <row r="347" spans="1:3">
      <c r="A347" s="39">
        <v>56190</v>
      </c>
      <c r="B347" s="40" t="s">
        <v>104</v>
      </c>
      <c r="C347" s="41" t="s">
        <v>107</v>
      </c>
    </row>
    <row r="348" spans="1:3" ht="35.450000000000003">
      <c r="A348" s="39">
        <v>56203</v>
      </c>
      <c r="B348" s="40" t="s">
        <v>108</v>
      </c>
      <c r="C348" s="41" t="s">
        <v>109</v>
      </c>
    </row>
    <row r="349" spans="1:3">
      <c r="A349" s="39">
        <v>56243</v>
      </c>
      <c r="B349" s="40" t="s">
        <v>101</v>
      </c>
      <c r="C349" s="41" t="s">
        <v>110</v>
      </c>
    </row>
    <row r="350" spans="1:3" ht="35.450000000000003">
      <c r="A350" s="42">
        <v>56250</v>
      </c>
      <c r="B350" s="43" t="s">
        <v>101</v>
      </c>
      <c r="C350" s="44" t="s">
        <v>94</v>
      </c>
    </row>
    <row r="351" spans="1:3">
      <c r="A351" s="42">
        <v>56289</v>
      </c>
      <c r="B351" s="43" t="s">
        <v>95</v>
      </c>
      <c r="C351" s="44" t="s">
        <v>96</v>
      </c>
    </row>
    <row r="352" spans="1:3">
      <c r="A352" s="42">
        <v>56290</v>
      </c>
      <c r="B352" s="43" t="s">
        <v>97</v>
      </c>
      <c r="C352" s="44" t="s">
        <v>96</v>
      </c>
    </row>
    <row r="353" spans="1:3" ht="24">
      <c r="A353" s="42">
        <v>56335</v>
      </c>
      <c r="B353" s="43" t="s">
        <v>98</v>
      </c>
      <c r="C353" s="44" t="s">
        <v>99</v>
      </c>
    </row>
    <row r="354" spans="1:3">
      <c r="A354" s="42">
        <v>56360</v>
      </c>
      <c r="B354" s="43" t="s">
        <v>97</v>
      </c>
      <c r="C354" s="44" t="s">
        <v>100</v>
      </c>
    </row>
    <row r="355" spans="1:3" ht="24">
      <c r="A355" s="42">
        <v>56370</v>
      </c>
      <c r="B355" s="43" t="s">
        <v>98</v>
      </c>
      <c r="C355" s="44" t="s">
        <v>102</v>
      </c>
    </row>
    <row r="356" spans="1:3" ht="24">
      <c r="A356" s="42">
        <v>56397</v>
      </c>
      <c r="B356" s="43" t="s">
        <v>101</v>
      </c>
      <c r="C356" s="44" t="s">
        <v>103</v>
      </c>
    </row>
    <row r="357" spans="1:3" ht="35.450000000000003">
      <c r="A357" s="42">
        <v>56499</v>
      </c>
      <c r="B357" s="43" t="s">
        <v>95</v>
      </c>
      <c r="C357" s="44" t="s">
        <v>105</v>
      </c>
    </row>
    <row r="358" spans="1:3" ht="48.95">
      <c r="A358" s="42">
        <v>56534</v>
      </c>
      <c r="B358" s="43" t="s">
        <v>95</v>
      </c>
      <c r="C358" s="44" t="s">
        <v>106</v>
      </c>
    </row>
    <row r="359" spans="1:3">
      <c r="A359" s="42">
        <v>56555</v>
      </c>
      <c r="B359" s="43" t="s">
        <v>95</v>
      </c>
      <c r="C359" s="44" t="s">
        <v>107</v>
      </c>
    </row>
    <row r="360" spans="1:3" ht="35.450000000000003">
      <c r="A360" s="42">
        <v>56568</v>
      </c>
      <c r="B360" s="43" t="s">
        <v>104</v>
      </c>
      <c r="C360" s="44" t="s">
        <v>109</v>
      </c>
    </row>
    <row r="361" spans="1:3">
      <c r="A361" s="42">
        <v>56608</v>
      </c>
      <c r="B361" s="43" t="s">
        <v>98</v>
      </c>
      <c r="C361" s="44" t="s">
        <v>110</v>
      </c>
    </row>
    <row r="362" spans="1:3" ht="35.450000000000003">
      <c r="A362" s="39">
        <v>56615</v>
      </c>
      <c r="B362" s="40" t="s">
        <v>98</v>
      </c>
      <c r="C362" s="41" t="s">
        <v>94</v>
      </c>
    </row>
    <row r="363" spans="1:3">
      <c r="A363" s="39">
        <v>56674</v>
      </c>
      <c r="B363" s="40" t="s">
        <v>95</v>
      </c>
      <c r="C363" s="41" t="s">
        <v>96</v>
      </c>
    </row>
    <row r="364" spans="1:3">
      <c r="A364" s="39">
        <v>56675</v>
      </c>
      <c r="B364" s="40" t="s">
        <v>97</v>
      </c>
      <c r="C364" s="41" t="s">
        <v>96</v>
      </c>
    </row>
    <row r="365" spans="1:3" ht="24">
      <c r="A365" s="39">
        <v>56720</v>
      </c>
      <c r="B365" s="40" t="s">
        <v>98</v>
      </c>
      <c r="C365" s="41" t="s">
        <v>99</v>
      </c>
    </row>
    <row r="366" spans="1:3">
      <c r="A366" s="39">
        <v>56725</v>
      </c>
      <c r="B366" s="40" t="s">
        <v>93</v>
      </c>
      <c r="C366" s="41" t="s">
        <v>100</v>
      </c>
    </row>
    <row r="367" spans="1:3" ht="24">
      <c r="A367" s="39">
        <v>56735</v>
      </c>
      <c r="B367" s="40" t="s">
        <v>108</v>
      </c>
      <c r="C367" s="41" t="s">
        <v>102</v>
      </c>
    </row>
    <row r="368" spans="1:3" ht="24">
      <c r="A368" s="39">
        <v>56782</v>
      </c>
      <c r="B368" s="40" t="s">
        <v>101</v>
      </c>
      <c r="C368" s="41" t="s">
        <v>103</v>
      </c>
    </row>
    <row r="369" spans="1:3" ht="35.450000000000003">
      <c r="A369" s="39">
        <v>56864</v>
      </c>
      <c r="B369" s="40" t="s">
        <v>97</v>
      </c>
      <c r="C369" s="41" t="s">
        <v>105</v>
      </c>
    </row>
    <row r="370" spans="1:3" ht="48.95">
      <c r="A370" s="39">
        <v>56899</v>
      </c>
      <c r="B370" s="40" t="s">
        <v>97</v>
      </c>
      <c r="C370" s="41" t="s">
        <v>106</v>
      </c>
    </row>
    <row r="371" spans="1:3">
      <c r="A371" s="39">
        <v>56920</v>
      </c>
      <c r="B371" s="40" t="s">
        <v>97</v>
      </c>
      <c r="C371" s="41" t="s">
        <v>107</v>
      </c>
    </row>
    <row r="372" spans="1:3" ht="35.450000000000003">
      <c r="A372" s="39">
        <v>56933</v>
      </c>
      <c r="B372" s="40" t="s">
        <v>95</v>
      </c>
      <c r="C372" s="41" t="s">
        <v>109</v>
      </c>
    </row>
    <row r="373" spans="1:3">
      <c r="A373" s="39">
        <v>56973</v>
      </c>
      <c r="B373" s="40" t="s">
        <v>108</v>
      </c>
      <c r="C373" s="41" t="s">
        <v>110</v>
      </c>
    </row>
    <row r="374" spans="1:3" ht="35.450000000000003">
      <c r="A374" s="42">
        <v>56980</v>
      </c>
      <c r="B374" s="43" t="s">
        <v>108</v>
      </c>
      <c r="C374" s="44" t="s">
        <v>94</v>
      </c>
    </row>
    <row r="375" spans="1:3">
      <c r="A375" s="42">
        <v>57024</v>
      </c>
      <c r="B375" s="43" t="s">
        <v>95</v>
      </c>
      <c r="C375" s="44" t="s">
        <v>96</v>
      </c>
    </row>
    <row r="376" spans="1:3">
      <c r="A376" s="42">
        <v>57025</v>
      </c>
      <c r="B376" s="43" t="s">
        <v>97</v>
      </c>
      <c r="C376" s="44" t="s">
        <v>96</v>
      </c>
    </row>
    <row r="377" spans="1:3" ht="24">
      <c r="A377" s="42">
        <v>57070</v>
      </c>
      <c r="B377" s="43" t="s">
        <v>98</v>
      </c>
      <c r="C377" s="44" t="s">
        <v>99</v>
      </c>
    </row>
    <row r="378" spans="1:3">
      <c r="A378" s="42">
        <v>57091</v>
      </c>
      <c r="B378" s="43" t="s">
        <v>98</v>
      </c>
      <c r="C378" s="44" t="s">
        <v>100</v>
      </c>
    </row>
    <row r="379" spans="1:3" ht="24">
      <c r="A379" s="42">
        <v>57101</v>
      </c>
      <c r="B379" s="43" t="s">
        <v>95</v>
      </c>
      <c r="C379" s="44" t="s">
        <v>102</v>
      </c>
    </row>
    <row r="380" spans="1:3" ht="24">
      <c r="A380" s="42">
        <v>57132</v>
      </c>
      <c r="B380" s="43" t="s">
        <v>101</v>
      </c>
      <c r="C380" s="44" t="s">
        <v>103</v>
      </c>
    </row>
    <row r="381" spans="1:3" ht="35.450000000000003">
      <c r="A381" s="42">
        <v>57230</v>
      </c>
      <c r="B381" s="43" t="s">
        <v>101</v>
      </c>
      <c r="C381" s="44" t="s">
        <v>105</v>
      </c>
    </row>
    <row r="382" spans="1:3" ht="48.95">
      <c r="A382" s="42">
        <v>57265</v>
      </c>
      <c r="B382" s="43" t="s">
        <v>101</v>
      </c>
      <c r="C382" s="44" t="s">
        <v>106</v>
      </c>
    </row>
    <row r="383" spans="1:3">
      <c r="A383" s="42">
        <v>57286</v>
      </c>
      <c r="B383" s="43" t="s">
        <v>101</v>
      </c>
      <c r="C383" s="44" t="s">
        <v>107</v>
      </c>
    </row>
    <row r="384" spans="1:3" ht="35.450000000000003">
      <c r="A384" s="42">
        <v>57299</v>
      </c>
      <c r="B384" s="43" t="s">
        <v>93</v>
      </c>
      <c r="C384" s="44" t="s">
        <v>109</v>
      </c>
    </row>
    <row r="385" spans="1:3">
      <c r="A385" s="42">
        <v>57339</v>
      </c>
      <c r="B385" s="43" t="s">
        <v>95</v>
      </c>
      <c r="C385" s="44" t="s">
        <v>110</v>
      </c>
    </row>
    <row r="386" spans="1:3" ht="35.450000000000003">
      <c r="A386" s="39">
        <v>57346</v>
      </c>
      <c r="B386" s="40" t="s">
        <v>95</v>
      </c>
      <c r="C386" s="41" t="s">
        <v>94</v>
      </c>
    </row>
    <row r="387" spans="1:3">
      <c r="A387" s="39">
        <v>57409</v>
      </c>
      <c r="B387" s="40" t="s">
        <v>95</v>
      </c>
      <c r="C387" s="41" t="s">
        <v>96</v>
      </c>
    </row>
    <row r="388" spans="1:3">
      <c r="A388" s="39">
        <v>57410</v>
      </c>
      <c r="B388" s="40" t="s">
        <v>97</v>
      </c>
      <c r="C388" s="41" t="s">
        <v>96</v>
      </c>
    </row>
    <row r="389" spans="1:3" ht="24">
      <c r="A389" s="39">
        <v>57455</v>
      </c>
      <c r="B389" s="40" t="s">
        <v>98</v>
      </c>
      <c r="C389" s="41" t="s">
        <v>99</v>
      </c>
    </row>
    <row r="390" spans="1:3">
      <c r="A390" s="39">
        <v>57456</v>
      </c>
      <c r="B390" s="40" t="s">
        <v>108</v>
      </c>
      <c r="C390" s="41" t="s">
        <v>100</v>
      </c>
    </row>
    <row r="391" spans="1:3" ht="24">
      <c r="A391" s="39">
        <v>57466</v>
      </c>
      <c r="B391" s="40" t="s">
        <v>97</v>
      </c>
      <c r="C391" s="41" t="s">
        <v>102</v>
      </c>
    </row>
    <row r="392" spans="1:3" ht="24">
      <c r="A392" s="39">
        <v>57517</v>
      </c>
      <c r="B392" s="40" t="s">
        <v>101</v>
      </c>
      <c r="C392" s="41" t="s">
        <v>103</v>
      </c>
    </row>
    <row r="393" spans="1:3" ht="35.450000000000003">
      <c r="A393" s="39">
        <v>57595</v>
      </c>
      <c r="B393" s="40" t="s">
        <v>98</v>
      </c>
      <c r="C393" s="41" t="s">
        <v>105</v>
      </c>
    </row>
    <row r="394" spans="1:3" ht="48.95">
      <c r="A394" s="39">
        <v>57630</v>
      </c>
      <c r="B394" s="40" t="s">
        <v>98</v>
      </c>
      <c r="C394" s="41" t="s">
        <v>106</v>
      </c>
    </row>
    <row r="395" spans="1:3">
      <c r="A395" s="39">
        <v>57651</v>
      </c>
      <c r="B395" s="40" t="s">
        <v>98</v>
      </c>
      <c r="C395" s="41" t="s">
        <v>107</v>
      </c>
    </row>
    <row r="396" spans="1:3" ht="35.450000000000003">
      <c r="A396" s="39">
        <v>57664</v>
      </c>
      <c r="B396" s="40" t="s">
        <v>101</v>
      </c>
      <c r="C396" s="41" t="s">
        <v>109</v>
      </c>
    </row>
    <row r="397" spans="1:3">
      <c r="A397" s="39">
        <v>57704</v>
      </c>
      <c r="B397" s="40" t="s">
        <v>97</v>
      </c>
      <c r="C397" s="41" t="s">
        <v>110</v>
      </c>
    </row>
    <row r="398" spans="1:3" ht="35.450000000000003">
      <c r="A398" s="42">
        <v>57711</v>
      </c>
      <c r="B398" s="43" t="s">
        <v>97</v>
      </c>
      <c r="C398" s="44" t="s">
        <v>94</v>
      </c>
    </row>
    <row r="399" spans="1:3">
      <c r="A399" s="42">
        <v>57766</v>
      </c>
      <c r="B399" s="43" t="s">
        <v>95</v>
      </c>
      <c r="C399" s="44" t="s">
        <v>96</v>
      </c>
    </row>
    <row r="400" spans="1:3">
      <c r="A400" s="42">
        <v>57767</v>
      </c>
      <c r="B400" s="43" t="s">
        <v>97</v>
      </c>
      <c r="C400" s="44" t="s">
        <v>96</v>
      </c>
    </row>
    <row r="401" spans="1:3" ht="24">
      <c r="A401" s="42">
        <v>57812</v>
      </c>
      <c r="B401" s="43" t="s">
        <v>98</v>
      </c>
      <c r="C401" s="44" t="s">
        <v>99</v>
      </c>
    </row>
    <row r="402" spans="1:3">
      <c r="A402" s="42">
        <v>57821</v>
      </c>
      <c r="B402" s="43" t="s">
        <v>104</v>
      </c>
      <c r="C402" s="44" t="s">
        <v>100</v>
      </c>
    </row>
    <row r="403" spans="1:3" ht="24">
      <c r="A403" s="42">
        <v>57831</v>
      </c>
      <c r="B403" s="43" t="s">
        <v>93</v>
      </c>
      <c r="C403" s="44" t="s">
        <v>102</v>
      </c>
    </row>
    <row r="404" spans="1:3" ht="24">
      <c r="A404" s="42">
        <v>57874</v>
      </c>
      <c r="B404" s="43" t="s">
        <v>101</v>
      </c>
      <c r="C404" s="44" t="s">
        <v>103</v>
      </c>
    </row>
    <row r="405" spans="1:3" ht="35.450000000000003">
      <c r="A405" s="42">
        <v>57960</v>
      </c>
      <c r="B405" s="43" t="s">
        <v>108</v>
      </c>
      <c r="C405" s="44" t="s">
        <v>105</v>
      </c>
    </row>
    <row r="406" spans="1:3" ht="48.95">
      <c r="A406" s="42">
        <v>57995</v>
      </c>
      <c r="B406" s="43" t="s">
        <v>108</v>
      </c>
      <c r="C406" s="44" t="s">
        <v>106</v>
      </c>
    </row>
    <row r="407" spans="1:3">
      <c r="A407" s="42">
        <v>58016</v>
      </c>
      <c r="B407" s="43" t="s">
        <v>108</v>
      </c>
      <c r="C407" s="44" t="s">
        <v>107</v>
      </c>
    </row>
    <row r="408" spans="1:3" ht="35.450000000000003">
      <c r="A408" s="42">
        <v>58029</v>
      </c>
      <c r="B408" s="43" t="s">
        <v>98</v>
      </c>
      <c r="C408" s="44" t="s">
        <v>109</v>
      </c>
    </row>
    <row r="409" spans="1:3">
      <c r="A409" s="42">
        <v>58069</v>
      </c>
      <c r="B409" s="43" t="s">
        <v>93</v>
      </c>
      <c r="C409" s="44" t="s">
        <v>110</v>
      </c>
    </row>
    <row r="410" spans="1:3" ht="35.450000000000003">
      <c r="A410" s="39">
        <v>58076</v>
      </c>
      <c r="B410" s="40" t="s">
        <v>93</v>
      </c>
      <c r="C410" s="41" t="s">
        <v>94</v>
      </c>
    </row>
    <row r="411" spans="1:3">
      <c r="A411" s="39">
        <v>58116</v>
      </c>
      <c r="B411" s="40" t="s">
        <v>95</v>
      </c>
      <c r="C411" s="41" t="s">
        <v>96</v>
      </c>
    </row>
    <row r="412" spans="1:3">
      <c r="A412" s="39">
        <v>58117</v>
      </c>
      <c r="B412" s="40" t="s">
        <v>97</v>
      </c>
      <c r="C412" s="41" t="s">
        <v>96</v>
      </c>
    </row>
    <row r="413" spans="1:3" ht="24">
      <c r="A413" s="39">
        <v>58162</v>
      </c>
      <c r="B413" s="40" t="s">
        <v>98</v>
      </c>
      <c r="C413" s="41" t="s">
        <v>99</v>
      </c>
    </row>
    <row r="414" spans="1:3">
      <c r="A414" s="39">
        <v>58186</v>
      </c>
      <c r="B414" s="40" t="s">
        <v>95</v>
      </c>
      <c r="C414" s="41" t="s">
        <v>100</v>
      </c>
    </row>
    <row r="415" spans="1:3" ht="24">
      <c r="A415" s="39">
        <v>58196</v>
      </c>
      <c r="B415" s="40" t="s">
        <v>101</v>
      </c>
      <c r="C415" s="41" t="s">
        <v>102</v>
      </c>
    </row>
    <row r="416" spans="1:3" ht="24">
      <c r="A416" s="39">
        <v>58224</v>
      </c>
      <c r="B416" s="40" t="s">
        <v>101</v>
      </c>
      <c r="C416" s="41" t="s">
        <v>103</v>
      </c>
    </row>
    <row r="417" spans="1:3" ht="35.450000000000003">
      <c r="A417" s="39">
        <v>58325</v>
      </c>
      <c r="B417" s="40" t="s">
        <v>104</v>
      </c>
      <c r="C417" s="41" t="s">
        <v>105</v>
      </c>
    </row>
    <row r="418" spans="1:3" ht="48.95">
      <c r="A418" s="39">
        <v>58360</v>
      </c>
      <c r="B418" s="40" t="s">
        <v>104</v>
      </c>
      <c r="C418" s="41" t="s">
        <v>106</v>
      </c>
    </row>
    <row r="419" spans="1:3">
      <c r="A419" s="39">
        <v>58381</v>
      </c>
      <c r="B419" s="40" t="s">
        <v>104</v>
      </c>
      <c r="C419" s="41" t="s">
        <v>107</v>
      </c>
    </row>
    <row r="420" spans="1:3" ht="35.450000000000003">
      <c r="A420" s="39">
        <v>58394</v>
      </c>
      <c r="B420" s="40" t="s">
        <v>108</v>
      </c>
      <c r="C420" s="41" t="s">
        <v>109</v>
      </c>
    </row>
    <row r="421" spans="1:3">
      <c r="A421" s="39">
        <v>58434</v>
      </c>
      <c r="B421" s="40" t="s">
        <v>101</v>
      </c>
      <c r="C421" s="41" t="s">
        <v>110</v>
      </c>
    </row>
    <row r="422" spans="1:3" ht="35.450000000000003">
      <c r="A422" s="42">
        <v>58441</v>
      </c>
      <c r="B422" s="43" t="s">
        <v>101</v>
      </c>
      <c r="C422" s="44" t="s">
        <v>94</v>
      </c>
    </row>
    <row r="423" spans="1:3">
      <c r="A423" s="42">
        <v>58501</v>
      </c>
      <c r="B423" s="43" t="s">
        <v>95</v>
      </c>
      <c r="C423" s="44" t="s">
        <v>96</v>
      </c>
    </row>
    <row r="424" spans="1:3">
      <c r="A424" s="42">
        <v>58502</v>
      </c>
      <c r="B424" s="43" t="s">
        <v>97</v>
      </c>
      <c r="C424" s="44" t="s">
        <v>96</v>
      </c>
    </row>
    <row r="425" spans="1:3" ht="24">
      <c r="A425" s="42">
        <v>58547</v>
      </c>
      <c r="B425" s="43" t="s">
        <v>98</v>
      </c>
      <c r="C425" s="44" t="s">
        <v>99</v>
      </c>
    </row>
    <row r="426" spans="1:3">
      <c r="A426" s="42">
        <v>58552</v>
      </c>
      <c r="B426" s="43" t="s">
        <v>93</v>
      </c>
      <c r="C426" s="44" t="s">
        <v>100</v>
      </c>
    </row>
    <row r="427" spans="1:3" ht="24">
      <c r="A427" s="42">
        <v>58562</v>
      </c>
      <c r="B427" s="43" t="s">
        <v>108</v>
      </c>
      <c r="C427" s="44" t="s">
        <v>102</v>
      </c>
    </row>
    <row r="428" spans="1:3" ht="24">
      <c r="A428" s="42">
        <v>58609</v>
      </c>
      <c r="B428" s="43" t="s">
        <v>101</v>
      </c>
      <c r="C428" s="44" t="s">
        <v>103</v>
      </c>
    </row>
    <row r="429" spans="1:3" ht="35.450000000000003">
      <c r="A429" s="42">
        <v>58691</v>
      </c>
      <c r="B429" s="43" t="s">
        <v>97</v>
      </c>
      <c r="C429" s="44" t="s">
        <v>105</v>
      </c>
    </row>
    <row r="430" spans="1:3" ht="48.95">
      <c r="A430" s="42">
        <v>58726</v>
      </c>
      <c r="B430" s="43" t="s">
        <v>97</v>
      </c>
      <c r="C430" s="44" t="s">
        <v>106</v>
      </c>
    </row>
    <row r="431" spans="1:3">
      <c r="A431" s="42">
        <v>58747</v>
      </c>
      <c r="B431" s="43" t="s">
        <v>97</v>
      </c>
      <c r="C431" s="44" t="s">
        <v>107</v>
      </c>
    </row>
    <row r="432" spans="1:3" ht="35.450000000000003">
      <c r="A432" s="42">
        <v>58760</v>
      </c>
      <c r="B432" s="43" t="s">
        <v>95</v>
      </c>
      <c r="C432" s="44" t="s">
        <v>109</v>
      </c>
    </row>
    <row r="433" spans="1:3">
      <c r="A433" s="42">
        <v>58800</v>
      </c>
      <c r="B433" s="43" t="s">
        <v>108</v>
      </c>
      <c r="C433" s="44" t="s">
        <v>110</v>
      </c>
    </row>
    <row r="434" spans="1:3" ht="35.450000000000003">
      <c r="A434" s="39">
        <v>58807</v>
      </c>
      <c r="B434" s="40" t="s">
        <v>108</v>
      </c>
      <c r="C434" s="41" t="s">
        <v>94</v>
      </c>
    </row>
    <row r="435" spans="1:3">
      <c r="A435" s="39">
        <v>58858</v>
      </c>
      <c r="B435" s="40" t="s">
        <v>95</v>
      </c>
      <c r="C435" s="41" t="s">
        <v>96</v>
      </c>
    </row>
    <row r="436" spans="1:3">
      <c r="A436" s="39">
        <v>58859</v>
      </c>
      <c r="B436" s="40" t="s">
        <v>97</v>
      </c>
      <c r="C436" s="41" t="s">
        <v>96</v>
      </c>
    </row>
    <row r="437" spans="1:3" ht="24">
      <c r="A437" s="39">
        <v>58904</v>
      </c>
      <c r="B437" s="40" t="s">
        <v>98</v>
      </c>
      <c r="C437" s="41" t="s">
        <v>99</v>
      </c>
    </row>
    <row r="438" spans="1:3">
      <c r="A438" s="39">
        <v>58917</v>
      </c>
      <c r="B438" s="40" t="s">
        <v>101</v>
      </c>
      <c r="C438" s="41" t="s">
        <v>100</v>
      </c>
    </row>
    <row r="439" spans="1:3" ht="24">
      <c r="A439" s="39">
        <v>58927</v>
      </c>
      <c r="B439" s="40" t="s">
        <v>104</v>
      </c>
      <c r="C439" s="41" t="s">
        <v>102</v>
      </c>
    </row>
    <row r="440" spans="1:3" ht="24">
      <c r="A440" s="39">
        <v>58966</v>
      </c>
      <c r="B440" s="40" t="s">
        <v>101</v>
      </c>
      <c r="C440" s="41" t="s">
        <v>103</v>
      </c>
    </row>
    <row r="441" spans="1:3" ht="35.450000000000003">
      <c r="A441" s="39">
        <v>59056</v>
      </c>
      <c r="B441" s="40" t="s">
        <v>93</v>
      </c>
      <c r="C441" s="41" t="s">
        <v>105</v>
      </c>
    </row>
    <row r="442" spans="1:3" ht="48.95">
      <c r="A442" s="39">
        <v>59091</v>
      </c>
      <c r="B442" s="40" t="s">
        <v>93</v>
      </c>
      <c r="C442" s="41" t="s">
        <v>106</v>
      </c>
    </row>
    <row r="443" spans="1:3">
      <c r="A443" s="39">
        <v>59112</v>
      </c>
      <c r="B443" s="40" t="s">
        <v>93</v>
      </c>
      <c r="C443" s="41" t="s">
        <v>107</v>
      </c>
    </row>
    <row r="444" spans="1:3" ht="35.450000000000003">
      <c r="A444" s="39">
        <v>59125</v>
      </c>
      <c r="B444" s="40" t="s">
        <v>97</v>
      </c>
      <c r="C444" s="41" t="s">
        <v>109</v>
      </c>
    </row>
    <row r="445" spans="1:3">
      <c r="A445" s="39">
        <v>59165</v>
      </c>
      <c r="B445" s="40" t="s">
        <v>104</v>
      </c>
      <c r="C445" s="41" t="s">
        <v>110</v>
      </c>
    </row>
    <row r="446" spans="1:3" ht="35.450000000000003">
      <c r="A446" s="42">
        <v>59172</v>
      </c>
      <c r="B446" s="43" t="s">
        <v>104</v>
      </c>
      <c r="C446" s="44" t="s">
        <v>94</v>
      </c>
    </row>
    <row r="447" spans="1:3">
      <c r="A447" s="42">
        <v>59208</v>
      </c>
      <c r="B447" s="43" t="s">
        <v>95</v>
      </c>
      <c r="C447" s="44" t="s">
        <v>96</v>
      </c>
    </row>
    <row r="448" spans="1:3">
      <c r="A448" s="42">
        <v>59209</v>
      </c>
      <c r="B448" s="43" t="s">
        <v>97</v>
      </c>
      <c r="C448" s="44" t="s">
        <v>96</v>
      </c>
    </row>
    <row r="449" spans="1:3" ht="24">
      <c r="A449" s="42">
        <v>59254</v>
      </c>
      <c r="B449" s="43" t="s">
        <v>98</v>
      </c>
      <c r="C449" s="44" t="s">
        <v>99</v>
      </c>
    </row>
    <row r="450" spans="1:3">
      <c r="A450" s="42">
        <v>59282</v>
      </c>
      <c r="B450" s="43" t="s">
        <v>98</v>
      </c>
      <c r="C450" s="44" t="s">
        <v>100</v>
      </c>
    </row>
    <row r="451" spans="1:3" ht="24">
      <c r="A451" s="42">
        <v>59292</v>
      </c>
      <c r="B451" s="43" t="s">
        <v>95</v>
      </c>
      <c r="C451" s="44" t="s">
        <v>102</v>
      </c>
    </row>
    <row r="452" spans="1:3" ht="24">
      <c r="A452" s="42">
        <v>59316</v>
      </c>
      <c r="B452" s="43" t="s">
        <v>101</v>
      </c>
      <c r="C452" s="44" t="s">
        <v>103</v>
      </c>
    </row>
    <row r="453" spans="1:3" ht="35.450000000000003">
      <c r="A453" s="42">
        <v>59421</v>
      </c>
      <c r="B453" s="43" t="s">
        <v>101</v>
      </c>
      <c r="C453" s="44" t="s">
        <v>105</v>
      </c>
    </row>
    <row r="454" spans="1:3" ht="48.95">
      <c r="A454" s="42">
        <v>59456</v>
      </c>
      <c r="B454" s="43" t="s">
        <v>101</v>
      </c>
      <c r="C454" s="44" t="s">
        <v>106</v>
      </c>
    </row>
    <row r="455" spans="1:3">
      <c r="A455" s="42">
        <v>59477</v>
      </c>
      <c r="B455" s="43" t="s">
        <v>101</v>
      </c>
      <c r="C455" s="44" t="s">
        <v>107</v>
      </c>
    </row>
    <row r="456" spans="1:3" ht="35.450000000000003">
      <c r="A456" s="42">
        <v>59490</v>
      </c>
      <c r="B456" s="43" t="s">
        <v>93</v>
      </c>
      <c r="C456" s="44" t="s">
        <v>109</v>
      </c>
    </row>
    <row r="457" spans="1:3">
      <c r="A457" s="42">
        <v>59530</v>
      </c>
      <c r="B457" s="43" t="s">
        <v>95</v>
      </c>
      <c r="C457" s="44" t="s">
        <v>110</v>
      </c>
    </row>
    <row r="458" spans="1:3" ht="35.450000000000003">
      <c r="A458" s="39">
        <v>59537</v>
      </c>
      <c r="B458" s="40" t="s">
        <v>95</v>
      </c>
      <c r="C458" s="41" t="s">
        <v>94</v>
      </c>
    </row>
    <row r="459" spans="1:3">
      <c r="A459" s="39">
        <v>59593</v>
      </c>
      <c r="B459" s="40" t="s">
        <v>95</v>
      </c>
      <c r="C459" s="41" t="s">
        <v>96</v>
      </c>
    </row>
    <row r="460" spans="1:3">
      <c r="A460" s="39">
        <v>59594</v>
      </c>
      <c r="B460" s="40" t="s">
        <v>97</v>
      </c>
      <c r="C460" s="41" t="s">
        <v>96</v>
      </c>
    </row>
    <row r="461" spans="1:3" ht="24">
      <c r="A461" s="39">
        <v>59639</v>
      </c>
      <c r="B461" s="40" t="s">
        <v>98</v>
      </c>
      <c r="C461" s="41" t="s">
        <v>99</v>
      </c>
    </row>
    <row r="462" spans="1:3">
      <c r="A462" s="39">
        <v>59647</v>
      </c>
      <c r="B462" s="40" t="s">
        <v>108</v>
      </c>
      <c r="C462" s="41" t="s">
        <v>100</v>
      </c>
    </row>
    <row r="463" spans="1:3" ht="24">
      <c r="A463" s="39">
        <v>59657</v>
      </c>
      <c r="B463" s="40" t="s">
        <v>97</v>
      </c>
      <c r="C463" s="41" t="s">
        <v>102</v>
      </c>
    </row>
    <row r="464" spans="1:3" ht="24">
      <c r="A464" s="39">
        <v>59701</v>
      </c>
      <c r="B464" s="40" t="s">
        <v>101</v>
      </c>
      <c r="C464" s="41" t="s">
        <v>103</v>
      </c>
    </row>
    <row r="465" spans="1:3" ht="35.450000000000003">
      <c r="A465" s="39">
        <v>59786</v>
      </c>
      <c r="B465" s="40" t="s">
        <v>98</v>
      </c>
      <c r="C465" s="41" t="s">
        <v>105</v>
      </c>
    </row>
    <row r="466" spans="1:3" ht="48.95">
      <c r="A466" s="39">
        <v>59821</v>
      </c>
      <c r="B466" s="40" t="s">
        <v>98</v>
      </c>
      <c r="C466" s="41" t="s">
        <v>106</v>
      </c>
    </row>
    <row r="467" spans="1:3">
      <c r="A467" s="39">
        <v>59842</v>
      </c>
      <c r="B467" s="40" t="s">
        <v>98</v>
      </c>
      <c r="C467" s="41" t="s">
        <v>107</v>
      </c>
    </row>
    <row r="468" spans="1:3" ht="35.450000000000003">
      <c r="A468" s="39">
        <v>59855</v>
      </c>
      <c r="B468" s="40" t="s">
        <v>101</v>
      </c>
      <c r="C468" s="41" t="s">
        <v>109</v>
      </c>
    </row>
    <row r="469" spans="1:3">
      <c r="A469" s="39">
        <v>59895</v>
      </c>
      <c r="B469" s="40" t="s">
        <v>97</v>
      </c>
      <c r="C469" s="41" t="s">
        <v>110</v>
      </c>
    </row>
    <row r="470" spans="1:3" ht="35.450000000000003">
      <c r="A470" s="42">
        <v>59902</v>
      </c>
      <c r="B470" s="43" t="s">
        <v>97</v>
      </c>
      <c r="C470" s="44" t="s">
        <v>94</v>
      </c>
    </row>
    <row r="471" spans="1:3">
      <c r="A471" s="42">
        <v>59950</v>
      </c>
      <c r="B471" s="43" t="s">
        <v>95</v>
      </c>
      <c r="C471" s="44" t="s">
        <v>96</v>
      </c>
    </row>
    <row r="472" spans="1:3">
      <c r="A472" s="42">
        <v>59951</v>
      </c>
      <c r="B472" s="43" t="s">
        <v>97</v>
      </c>
      <c r="C472" s="44" t="s">
        <v>96</v>
      </c>
    </row>
    <row r="473" spans="1:3" ht="24">
      <c r="A473" s="42">
        <v>59996</v>
      </c>
      <c r="B473" s="43" t="s">
        <v>98</v>
      </c>
      <c r="C473" s="44" t="s">
        <v>99</v>
      </c>
    </row>
    <row r="474" spans="1:3">
      <c r="A474" s="42">
        <v>60013</v>
      </c>
      <c r="B474" s="43" t="s">
        <v>95</v>
      </c>
      <c r="C474" s="44" t="s">
        <v>100</v>
      </c>
    </row>
    <row r="475" spans="1:3" ht="24">
      <c r="A475" s="42">
        <v>60023</v>
      </c>
      <c r="B475" s="43" t="s">
        <v>101</v>
      </c>
      <c r="C475" s="44" t="s">
        <v>102</v>
      </c>
    </row>
    <row r="476" spans="1:3" ht="24">
      <c r="A476" s="42">
        <v>60058</v>
      </c>
      <c r="B476" s="43" t="s">
        <v>101</v>
      </c>
      <c r="C476" s="44" t="s">
        <v>103</v>
      </c>
    </row>
    <row r="477" spans="1:3" ht="35.450000000000003">
      <c r="A477" s="42">
        <v>60152</v>
      </c>
      <c r="B477" s="43" t="s">
        <v>104</v>
      </c>
      <c r="C477" s="44" t="s">
        <v>105</v>
      </c>
    </row>
    <row r="478" spans="1:3" ht="48.95">
      <c r="A478" s="42">
        <v>60187</v>
      </c>
      <c r="B478" s="43" t="s">
        <v>104</v>
      </c>
      <c r="C478" s="44" t="s">
        <v>106</v>
      </c>
    </row>
    <row r="479" spans="1:3">
      <c r="A479" s="42">
        <v>60208</v>
      </c>
      <c r="B479" s="43" t="s">
        <v>104</v>
      </c>
      <c r="C479" s="44" t="s">
        <v>107</v>
      </c>
    </row>
    <row r="480" spans="1:3" ht="35.450000000000003">
      <c r="A480" s="42">
        <v>60221</v>
      </c>
      <c r="B480" s="43" t="s">
        <v>108</v>
      </c>
      <c r="C480" s="44" t="s">
        <v>109</v>
      </c>
    </row>
    <row r="481" spans="1:3">
      <c r="A481" s="42">
        <v>60261</v>
      </c>
      <c r="B481" s="43" t="s">
        <v>101</v>
      </c>
      <c r="C481" s="44" t="s">
        <v>110</v>
      </c>
    </row>
    <row r="482" spans="1:3" ht="35.450000000000003">
      <c r="A482" s="39">
        <v>60268</v>
      </c>
      <c r="B482" s="40" t="s">
        <v>101</v>
      </c>
      <c r="C482" s="41" t="s">
        <v>94</v>
      </c>
    </row>
    <row r="483" spans="1:3">
      <c r="A483" s="39">
        <v>60307</v>
      </c>
      <c r="B483" s="40" t="s">
        <v>95</v>
      </c>
      <c r="C483" s="41" t="s">
        <v>96</v>
      </c>
    </row>
    <row r="484" spans="1:3">
      <c r="A484" s="39">
        <v>60308</v>
      </c>
      <c r="B484" s="40" t="s">
        <v>97</v>
      </c>
      <c r="C484" s="41" t="s">
        <v>96</v>
      </c>
    </row>
    <row r="485" spans="1:3" ht="24">
      <c r="A485" s="39">
        <v>60353</v>
      </c>
      <c r="B485" s="40" t="s">
        <v>98</v>
      </c>
      <c r="C485" s="41" t="s">
        <v>99</v>
      </c>
    </row>
    <row r="486" spans="1:3">
      <c r="A486" s="39">
        <v>60378</v>
      </c>
      <c r="B486" s="40" t="s">
        <v>97</v>
      </c>
      <c r="C486" s="41" t="s">
        <v>100</v>
      </c>
    </row>
    <row r="487" spans="1:3" ht="24">
      <c r="A487" s="39">
        <v>60388</v>
      </c>
      <c r="B487" s="40" t="s">
        <v>98</v>
      </c>
      <c r="C487" s="41" t="s">
        <v>102</v>
      </c>
    </row>
    <row r="488" spans="1:3" ht="24">
      <c r="A488" s="39">
        <v>60415</v>
      </c>
      <c r="B488" s="40" t="s">
        <v>101</v>
      </c>
      <c r="C488" s="41" t="s">
        <v>103</v>
      </c>
    </row>
    <row r="489" spans="1:3" ht="35.450000000000003">
      <c r="A489" s="39">
        <v>60517</v>
      </c>
      <c r="B489" s="40" t="s">
        <v>95</v>
      </c>
      <c r="C489" s="41" t="s">
        <v>105</v>
      </c>
    </row>
    <row r="490" spans="1:3" ht="48.95">
      <c r="A490" s="39">
        <v>60552</v>
      </c>
      <c r="B490" s="40" t="s">
        <v>95</v>
      </c>
      <c r="C490" s="41" t="s">
        <v>106</v>
      </c>
    </row>
    <row r="491" spans="1:3">
      <c r="A491" s="39">
        <v>60573</v>
      </c>
      <c r="B491" s="40" t="s">
        <v>95</v>
      </c>
      <c r="C491" s="41" t="s">
        <v>107</v>
      </c>
    </row>
    <row r="492" spans="1:3" ht="35.450000000000003">
      <c r="A492" s="39">
        <v>60586</v>
      </c>
      <c r="B492" s="40" t="s">
        <v>104</v>
      </c>
      <c r="C492" s="41" t="s">
        <v>109</v>
      </c>
    </row>
    <row r="493" spans="1:3">
      <c r="A493" s="39">
        <v>60626</v>
      </c>
      <c r="B493" s="40" t="s">
        <v>98</v>
      </c>
      <c r="C493" s="41" t="s">
        <v>110</v>
      </c>
    </row>
    <row r="494" spans="1:3" ht="35.450000000000003">
      <c r="A494" s="42">
        <v>60633</v>
      </c>
      <c r="B494" s="43" t="s">
        <v>98</v>
      </c>
      <c r="C494" s="44" t="s">
        <v>94</v>
      </c>
    </row>
    <row r="495" spans="1:3">
      <c r="A495" s="42">
        <v>60685</v>
      </c>
      <c r="B495" s="43" t="s">
        <v>95</v>
      </c>
      <c r="C495" s="44" t="s">
        <v>96</v>
      </c>
    </row>
    <row r="496" spans="1:3">
      <c r="A496" s="42">
        <v>60686</v>
      </c>
      <c r="B496" s="43" t="s">
        <v>97</v>
      </c>
      <c r="C496" s="44" t="s">
        <v>96</v>
      </c>
    </row>
    <row r="497" spans="1:3" ht="24">
      <c r="A497" s="42">
        <v>60731</v>
      </c>
      <c r="B497" s="43" t="s">
        <v>98</v>
      </c>
      <c r="C497" s="44" t="s">
        <v>99</v>
      </c>
    </row>
    <row r="498" spans="1:3">
      <c r="A498" s="42">
        <v>60743</v>
      </c>
      <c r="B498" s="43" t="s">
        <v>93</v>
      </c>
      <c r="C498" s="44" t="s">
        <v>100</v>
      </c>
    </row>
    <row r="499" spans="1:3" ht="24">
      <c r="A499" s="42">
        <v>60753</v>
      </c>
      <c r="B499" s="43" t="s">
        <v>108</v>
      </c>
      <c r="C499" s="44" t="s">
        <v>102</v>
      </c>
    </row>
    <row r="500" spans="1:3" ht="24">
      <c r="A500" s="42">
        <v>60793</v>
      </c>
      <c r="B500" s="43" t="s">
        <v>101</v>
      </c>
      <c r="C500" s="44" t="s">
        <v>103</v>
      </c>
    </row>
    <row r="501" spans="1:3" ht="35.450000000000003">
      <c r="A501" s="42">
        <v>60882</v>
      </c>
      <c r="B501" s="43" t="s">
        <v>97</v>
      </c>
      <c r="C501" s="44" t="s">
        <v>105</v>
      </c>
    </row>
    <row r="502" spans="1:3" ht="48.95">
      <c r="A502" s="42">
        <v>60917</v>
      </c>
      <c r="B502" s="43" t="s">
        <v>97</v>
      </c>
      <c r="C502" s="44" t="s">
        <v>106</v>
      </c>
    </row>
    <row r="503" spans="1:3">
      <c r="A503" s="42">
        <v>60938</v>
      </c>
      <c r="B503" s="43" t="s">
        <v>97</v>
      </c>
      <c r="C503" s="44" t="s">
        <v>107</v>
      </c>
    </row>
    <row r="504" spans="1:3" ht="35.450000000000003">
      <c r="A504" s="42">
        <v>60951</v>
      </c>
      <c r="B504" s="43" t="s">
        <v>95</v>
      </c>
      <c r="C504" s="44" t="s">
        <v>109</v>
      </c>
    </row>
    <row r="505" spans="1:3">
      <c r="A505" s="42">
        <v>60991</v>
      </c>
      <c r="B505" s="43" t="s">
        <v>108</v>
      </c>
      <c r="C505" s="44" t="s">
        <v>110</v>
      </c>
    </row>
    <row r="506" spans="1:3" ht="35.450000000000003">
      <c r="A506" s="39">
        <v>60998</v>
      </c>
      <c r="B506" s="40" t="s">
        <v>108</v>
      </c>
      <c r="C506" s="41" t="s">
        <v>94</v>
      </c>
    </row>
    <row r="507" spans="1:3">
      <c r="A507" s="39">
        <v>61042</v>
      </c>
      <c r="B507" s="40" t="s">
        <v>95</v>
      </c>
      <c r="C507" s="41" t="s">
        <v>96</v>
      </c>
    </row>
    <row r="508" spans="1:3">
      <c r="A508" s="39">
        <v>61043</v>
      </c>
      <c r="B508" s="40" t="s">
        <v>97</v>
      </c>
      <c r="C508" s="41" t="s">
        <v>96</v>
      </c>
    </row>
    <row r="509" spans="1:3" ht="24">
      <c r="A509" s="39">
        <v>61088</v>
      </c>
      <c r="B509" s="40" t="s">
        <v>98</v>
      </c>
      <c r="C509" s="41" t="s">
        <v>99</v>
      </c>
    </row>
    <row r="510" spans="1:3">
      <c r="A510" s="39">
        <v>61108</v>
      </c>
      <c r="B510" s="40" t="s">
        <v>101</v>
      </c>
      <c r="C510" s="41" t="s">
        <v>100</v>
      </c>
    </row>
    <row r="511" spans="1:3" ht="24">
      <c r="A511" s="39">
        <v>61118</v>
      </c>
      <c r="B511" s="40" t="s">
        <v>104</v>
      </c>
      <c r="C511" s="41" t="s">
        <v>102</v>
      </c>
    </row>
    <row r="512" spans="1:3" ht="24">
      <c r="A512" s="39">
        <v>61150</v>
      </c>
      <c r="B512" s="40" t="s">
        <v>101</v>
      </c>
      <c r="C512" s="41" t="s">
        <v>103</v>
      </c>
    </row>
    <row r="513" spans="1:3" ht="35.450000000000003">
      <c r="A513" s="39">
        <v>61247</v>
      </c>
      <c r="B513" s="40" t="s">
        <v>93</v>
      </c>
      <c r="C513" s="41" t="s">
        <v>105</v>
      </c>
    </row>
    <row r="514" spans="1:3" ht="48.95">
      <c r="A514" s="39">
        <v>61282</v>
      </c>
      <c r="B514" s="40" t="s">
        <v>93</v>
      </c>
      <c r="C514" s="41" t="s">
        <v>106</v>
      </c>
    </row>
    <row r="515" spans="1:3">
      <c r="A515" s="39">
        <v>61303</v>
      </c>
      <c r="B515" s="40" t="s">
        <v>93</v>
      </c>
      <c r="C515" s="41" t="s">
        <v>107</v>
      </c>
    </row>
    <row r="516" spans="1:3" ht="35.450000000000003">
      <c r="A516" s="39">
        <v>61316</v>
      </c>
      <c r="B516" s="40" t="s">
        <v>97</v>
      </c>
      <c r="C516" s="41" t="s">
        <v>109</v>
      </c>
    </row>
    <row r="517" spans="1:3">
      <c r="A517" s="39">
        <v>61356</v>
      </c>
      <c r="B517" s="40" t="s">
        <v>104</v>
      </c>
      <c r="C517" s="41" t="s">
        <v>110</v>
      </c>
    </row>
    <row r="518" spans="1:3" ht="35.450000000000003">
      <c r="A518" s="42">
        <v>61363</v>
      </c>
      <c r="B518" s="43" t="s">
        <v>104</v>
      </c>
      <c r="C518" s="44" t="s">
        <v>94</v>
      </c>
    </row>
    <row r="519" spans="1:3">
      <c r="A519" s="42">
        <v>61427</v>
      </c>
      <c r="B519" s="43" t="s">
        <v>95</v>
      </c>
      <c r="C519" s="44" t="s">
        <v>96</v>
      </c>
    </row>
    <row r="520" spans="1:3">
      <c r="A520" s="42">
        <v>61428</v>
      </c>
      <c r="B520" s="43" t="s">
        <v>97</v>
      </c>
      <c r="C520" s="44" t="s">
        <v>96</v>
      </c>
    </row>
    <row r="521" spans="1:3" ht="24">
      <c r="A521" s="42">
        <v>61473</v>
      </c>
      <c r="B521" s="43" t="s">
        <v>98</v>
      </c>
      <c r="C521" s="44" t="s">
        <v>99</v>
      </c>
    </row>
    <row r="522" spans="1:3">
      <c r="A522" s="42">
        <v>61474</v>
      </c>
      <c r="B522" s="43" t="s">
        <v>108</v>
      </c>
      <c r="C522" s="44" t="s">
        <v>100</v>
      </c>
    </row>
    <row r="523" spans="1:3" ht="24">
      <c r="A523" s="42">
        <v>61484</v>
      </c>
      <c r="B523" s="43" t="s">
        <v>97</v>
      </c>
      <c r="C523" s="44" t="s">
        <v>102</v>
      </c>
    </row>
    <row r="524" spans="1:3" ht="24">
      <c r="A524" s="42">
        <v>61535</v>
      </c>
      <c r="B524" s="43" t="s">
        <v>101</v>
      </c>
      <c r="C524" s="44" t="s">
        <v>103</v>
      </c>
    </row>
    <row r="525" spans="1:3" ht="35.450000000000003">
      <c r="A525" s="42">
        <v>61613</v>
      </c>
      <c r="B525" s="43" t="s">
        <v>98</v>
      </c>
      <c r="C525" s="44" t="s">
        <v>105</v>
      </c>
    </row>
    <row r="526" spans="1:3" ht="48.95">
      <c r="A526" s="42">
        <v>61648</v>
      </c>
      <c r="B526" s="43" t="s">
        <v>98</v>
      </c>
      <c r="C526" s="44" t="s">
        <v>106</v>
      </c>
    </row>
    <row r="527" spans="1:3">
      <c r="A527" s="42">
        <v>61669</v>
      </c>
      <c r="B527" s="43" t="s">
        <v>98</v>
      </c>
      <c r="C527" s="44" t="s">
        <v>107</v>
      </c>
    </row>
    <row r="528" spans="1:3" ht="35.450000000000003">
      <c r="A528" s="42">
        <v>61682</v>
      </c>
      <c r="B528" s="43" t="s">
        <v>101</v>
      </c>
      <c r="C528" s="44" t="s">
        <v>109</v>
      </c>
    </row>
    <row r="529" spans="1:3">
      <c r="A529" s="42">
        <v>61722</v>
      </c>
      <c r="B529" s="43" t="s">
        <v>97</v>
      </c>
      <c r="C529" s="44" t="s">
        <v>110</v>
      </c>
    </row>
    <row r="530" spans="1:3" ht="35.450000000000003">
      <c r="A530" s="39">
        <v>61729</v>
      </c>
      <c r="B530" s="40" t="s">
        <v>97</v>
      </c>
      <c r="C530" s="41" t="s">
        <v>94</v>
      </c>
    </row>
    <row r="531" spans="1:3">
      <c r="A531" s="39">
        <v>61784</v>
      </c>
      <c r="B531" s="40" t="s">
        <v>95</v>
      </c>
      <c r="C531" s="41" t="s">
        <v>96</v>
      </c>
    </row>
    <row r="532" spans="1:3">
      <c r="A532" s="39">
        <v>61785</v>
      </c>
      <c r="B532" s="40" t="s">
        <v>97</v>
      </c>
      <c r="C532" s="41" t="s">
        <v>96</v>
      </c>
    </row>
    <row r="533" spans="1:3" ht="24">
      <c r="A533" s="39">
        <v>61830</v>
      </c>
      <c r="B533" s="40" t="s">
        <v>98</v>
      </c>
      <c r="C533" s="41" t="s">
        <v>99</v>
      </c>
    </row>
    <row r="534" spans="1:3">
      <c r="A534" s="39">
        <v>61839</v>
      </c>
      <c r="B534" s="40" t="s">
        <v>104</v>
      </c>
      <c r="C534" s="41" t="s">
        <v>100</v>
      </c>
    </row>
    <row r="535" spans="1:3" ht="24">
      <c r="A535" s="39">
        <v>61849</v>
      </c>
      <c r="B535" s="40" t="s">
        <v>93</v>
      </c>
      <c r="C535" s="41" t="s">
        <v>102</v>
      </c>
    </row>
    <row r="536" spans="1:3" ht="24">
      <c r="A536" s="39">
        <v>61892</v>
      </c>
      <c r="B536" s="40" t="s">
        <v>101</v>
      </c>
      <c r="C536" s="41" t="s">
        <v>103</v>
      </c>
    </row>
    <row r="537" spans="1:3" ht="35.450000000000003">
      <c r="A537" s="39">
        <v>61978</v>
      </c>
      <c r="B537" s="40" t="s">
        <v>108</v>
      </c>
      <c r="C537" s="41" t="s">
        <v>105</v>
      </c>
    </row>
    <row r="538" spans="1:3" ht="48.95">
      <c r="A538" s="39">
        <v>62013</v>
      </c>
      <c r="B538" s="40" t="s">
        <v>108</v>
      </c>
      <c r="C538" s="41" t="s">
        <v>106</v>
      </c>
    </row>
    <row r="539" spans="1:3">
      <c r="A539" s="39">
        <v>62034</v>
      </c>
      <c r="B539" s="40" t="s">
        <v>108</v>
      </c>
      <c r="C539" s="41" t="s">
        <v>107</v>
      </c>
    </row>
    <row r="540" spans="1:3" ht="35.450000000000003">
      <c r="A540" s="39">
        <v>62047</v>
      </c>
      <c r="B540" s="40" t="s">
        <v>98</v>
      </c>
      <c r="C540" s="41" t="s">
        <v>109</v>
      </c>
    </row>
    <row r="541" spans="1:3">
      <c r="A541" s="39">
        <v>62087</v>
      </c>
      <c r="B541" s="40" t="s">
        <v>93</v>
      </c>
      <c r="C541" s="41" t="s">
        <v>110</v>
      </c>
    </row>
    <row r="542" spans="1:3" ht="35.450000000000003">
      <c r="A542" s="42">
        <v>62094</v>
      </c>
      <c r="B542" s="43" t="s">
        <v>93</v>
      </c>
      <c r="C542" s="44" t="s">
        <v>94</v>
      </c>
    </row>
    <row r="543" spans="1:3">
      <c r="A543" s="42">
        <v>62134</v>
      </c>
      <c r="B543" s="43" t="s">
        <v>95</v>
      </c>
      <c r="C543" s="44" t="s">
        <v>96</v>
      </c>
    </row>
    <row r="544" spans="1:3">
      <c r="A544" s="42">
        <v>62135</v>
      </c>
      <c r="B544" s="43" t="s">
        <v>97</v>
      </c>
      <c r="C544" s="44" t="s">
        <v>96</v>
      </c>
    </row>
    <row r="545" spans="1:3" ht="24">
      <c r="A545" s="42">
        <v>62180</v>
      </c>
      <c r="B545" s="43" t="s">
        <v>98</v>
      </c>
      <c r="C545" s="44" t="s">
        <v>99</v>
      </c>
    </row>
    <row r="546" spans="1:3">
      <c r="A546" s="42">
        <v>62204</v>
      </c>
      <c r="B546" s="43" t="s">
        <v>95</v>
      </c>
      <c r="C546" s="44" t="s">
        <v>100</v>
      </c>
    </row>
    <row r="547" spans="1:3" ht="24">
      <c r="A547" s="42">
        <v>62214</v>
      </c>
      <c r="B547" s="43" t="s">
        <v>101</v>
      </c>
      <c r="C547" s="44" t="s">
        <v>102</v>
      </c>
    </row>
    <row r="548" spans="1:3" ht="24">
      <c r="A548" s="42">
        <v>62242</v>
      </c>
      <c r="B548" s="43" t="s">
        <v>101</v>
      </c>
      <c r="C548" s="44" t="s">
        <v>103</v>
      </c>
    </row>
    <row r="549" spans="1:3" ht="35.450000000000003">
      <c r="A549" s="42">
        <v>62343</v>
      </c>
      <c r="B549" s="43" t="s">
        <v>104</v>
      </c>
      <c r="C549" s="44" t="s">
        <v>105</v>
      </c>
    </row>
    <row r="550" spans="1:3" ht="48.95">
      <c r="A550" s="42">
        <v>62378</v>
      </c>
      <c r="B550" s="43" t="s">
        <v>104</v>
      </c>
      <c r="C550" s="44" t="s">
        <v>106</v>
      </c>
    </row>
    <row r="551" spans="1:3">
      <c r="A551" s="42">
        <v>62399</v>
      </c>
      <c r="B551" s="43" t="s">
        <v>104</v>
      </c>
      <c r="C551" s="44" t="s">
        <v>107</v>
      </c>
    </row>
    <row r="552" spans="1:3" ht="35.450000000000003">
      <c r="A552" s="42">
        <v>62412</v>
      </c>
      <c r="B552" s="43" t="s">
        <v>108</v>
      </c>
      <c r="C552" s="44" t="s">
        <v>109</v>
      </c>
    </row>
    <row r="553" spans="1:3">
      <c r="A553" s="42">
        <v>62452</v>
      </c>
      <c r="B553" s="43" t="s">
        <v>101</v>
      </c>
      <c r="C553" s="44" t="s">
        <v>110</v>
      </c>
    </row>
    <row r="554" spans="1:3" ht="35.450000000000003">
      <c r="A554" s="39">
        <v>62459</v>
      </c>
      <c r="B554" s="40" t="s">
        <v>101</v>
      </c>
      <c r="C554" s="41" t="s">
        <v>94</v>
      </c>
    </row>
    <row r="555" spans="1:3">
      <c r="A555" s="39">
        <v>62519</v>
      </c>
      <c r="B555" s="40" t="s">
        <v>95</v>
      </c>
      <c r="C555" s="41" t="s">
        <v>96</v>
      </c>
    </row>
    <row r="556" spans="1:3">
      <c r="A556" s="39">
        <v>62520</v>
      </c>
      <c r="B556" s="40" t="s">
        <v>97</v>
      </c>
      <c r="C556" s="41" t="s">
        <v>96</v>
      </c>
    </row>
    <row r="557" spans="1:3" ht="24">
      <c r="A557" s="39">
        <v>62565</v>
      </c>
      <c r="B557" s="40" t="s">
        <v>98</v>
      </c>
      <c r="C557" s="41" t="s">
        <v>99</v>
      </c>
    </row>
    <row r="558" spans="1:3">
      <c r="A558" s="39">
        <v>62569</v>
      </c>
      <c r="B558" s="40" t="s">
        <v>97</v>
      </c>
      <c r="C558" s="41" t="s">
        <v>100</v>
      </c>
    </row>
    <row r="559" spans="1:3" ht="24">
      <c r="A559" s="39">
        <v>62579</v>
      </c>
      <c r="B559" s="40" t="s">
        <v>98</v>
      </c>
      <c r="C559" s="41" t="s">
        <v>102</v>
      </c>
    </row>
    <row r="560" spans="1:3" ht="24">
      <c r="A560" s="39">
        <v>62627</v>
      </c>
      <c r="B560" s="40" t="s">
        <v>101</v>
      </c>
      <c r="C560" s="41" t="s">
        <v>103</v>
      </c>
    </row>
    <row r="561" spans="1:3" ht="35.450000000000003">
      <c r="A561" s="39">
        <v>62708</v>
      </c>
      <c r="B561" s="40" t="s">
        <v>95</v>
      </c>
      <c r="C561" s="41" t="s">
        <v>105</v>
      </c>
    </row>
    <row r="562" spans="1:3" ht="48.95">
      <c r="A562" s="39">
        <v>62743</v>
      </c>
      <c r="B562" s="40" t="s">
        <v>95</v>
      </c>
      <c r="C562" s="41" t="s">
        <v>106</v>
      </c>
    </row>
    <row r="563" spans="1:3">
      <c r="A563" s="39">
        <v>62764</v>
      </c>
      <c r="B563" s="40" t="s">
        <v>95</v>
      </c>
      <c r="C563" s="41" t="s">
        <v>107</v>
      </c>
    </row>
    <row r="564" spans="1:3" ht="35.450000000000003">
      <c r="A564" s="39">
        <v>62777</v>
      </c>
      <c r="B564" s="40" t="s">
        <v>104</v>
      </c>
      <c r="C564" s="41" t="s">
        <v>109</v>
      </c>
    </row>
    <row r="565" spans="1:3">
      <c r="A565" s="39">
        <v>62817</v>
      </c>
      <c r="B565" s="40" t="s">
        <v>98</v>
      </c>
      <c r="C565" s="41" t="s">
        <v>110</v>
      </c>
    </row>
    <row r="566" spans="1:3" ht="35.450000000000003">
      <c r="A566" s="42">
        <v>62824</v>
      </c>
      <c r="B566" s="43" t="s">
        <v>98</v>
      </c>
      <c r="C566" s="44" t="s">
        <v>94</v>
      </c>
    </row>
    <row r="567" spans="1:3">
      <c r="A567" s="42">
        <v>62876</v>
      </c>
      <c r="B567" s="43" t="s">
        <v>95</v>
      </c>
      <c r="C567" s="44" t="s">
        <v>96</v>
      </c>
    </row>
    <row r="568" spans="1:3">
      <c r="A568" s="42">
        <v>62877</v>
      </c>
      <c r="B568" s="43" t="s">
        <v>97</v>
      </c>
      <c r="C568" s="44" t="s">
        <v>96</v>
      </c>
    </row>
    <row r="569" spans="1:3" ht="24">
      <c r="A569" s="42">
        <v>62922</v>
      </c>
      <c r="B569" s="43" t="s">
        <v>98</v>
      </c>
      <c r="C569" s="44" t="s">
        <v>99</v>
      </c>
    </row>
    <row r="570" spans="1:3">
      <c r="A570" s="42">
        <v>62935</v>
      </c>
      <c r="B570" s="43" t="s">
        <v>101</v>
      </c>
      <c r="C570" s="44" t="s">
        <v>100</v>
      </c>
    </row>
    <row r="571" spans="1:3" ht="24">
      <c r="A571" s="42">
        <v>62945</v>
      </c>
      <c r="B571" s="43" t="s">
        <v>104</v>
      </c>
      <c r="C571" s="44" t="s">
        <v>102</v>
      </c>
    </row>
    <row r="572" spans="1:3" ht="24">
      <c r="A572" s="42">
        <v>62984</v>
      </c>
      <c r="B572" s="43" t="s">
        <v>101</v>
      </c>
      <c r="C572" s="44" t="s">
        <v>103</v>
      </c>
    </row>
    <row r="573" spans="1:3" ht="35.450000000000003">
      <c r="A573" s="42">
        <v>63074</v>
      </c>
      <c r="B573" s="43" t="s">
        <v>93</v>
      </c>
      <c r="C573" s="44" t="s">
        <v>105</v>
      </c>
    </row>
    <row r="574" spans="1:3" ht="48.95">
      <c r="A574" s="42">
        <v>63109</v>
      </c>
      <c r="B574" s="43" t="s">
        <v>93</v>
      </c>
      <c r="C574" s="44" t="s">
        <v>106</v>
      </c>
    </row>
    <row r="575" spans="1:3">
      <c r="A575" s="42">
        <v>63130</v>
      </c>
      <c r="B575" s="43" t="s">
        <v>93</v>
      </c>
      <c r="C575" s="44" t="s">
        <v>107</v>
      </c>
    </row>
    <row r="576" spans="1:3" ht="35.450000000000003">
      <c r="A576" s="42">
        <v>63143</v>
      </c>
      <c r="B576" s="43" t="s">
        <v>97</v>
      </c>
      <c r="C576" s="44" t="s">
        <v>109</v>
      </c>
    </row>
    <row r="577" spans="1:3">
      <c r="A577" s="42">
        <v>63183</v>
      </c>
      <c r="B577" s="43" t="s">
        <v>104</v>
      </c>
      <c r="C577" s="44" t="s">
        <v>110</v>
      </c>
    </row>
    <row r="578" spans="1:3" ht="35.450000000000003">
      <c r="A578" s="39">
        <v>63190</v>
      </c>
      <c r="B578" s="40" t="s">
        <v>104</v>
      </c>
      <c r="C578" s="41" t="s">
        <v>94</v>
      </c>
    </row>
    <row r="579" spans="1:3">
      <c r="A579" s="39">
        <v>63226</v>
      </c>
      <c r="B579" s="40" t="s">
        <v>95</v>
      </c>
      <c r="C579" s="41" t="s">
        <v>96</v>
      </c>
    </row>
    <row r="580" spans="1:3">
      <c r="A580" s="39">
        <v>63227</v>
      </c>
      <c r="B580" s="40" t="s">
        <v>97</v>
      </c>
      <c r="C580" s="41" t="s">
        <v>96</v>
      </c>
    </row>
    <row r="581" spans="1:3" ht="24">
      <c r="A581" s="39">
        <v>63272</v>
      </c>
      <c r="B581" s="40" t="s">
        <v>98</v>
      </c>
      <c r="C581" s="41" t="s">
        <v>99</v>
      </c>
    </row>
    <row r="582" spans="1:3">
      <c r="A582" s="39">
        <v>63300</v>
      </c>
      <c r="B582" s="40" t="s">
        <v>98</v>
      </c>
      <c r="C582" s="41" t="s">
        <v>100</v>
      </c>
    </row>
    <row r="583" spans="1:3" ht="24">
      <c r="A583" s="39">
        <v>63310</v>
      </c>
      <c r="B583" s="40" t="s">
        <v>95</v>
      </c>
      <c r="C583" s="41" t="s">
        <v>102</v>
      </c>
    </row>
    <row r="584" spans="1:3" ht="24">
      <c r="A584" s="39">
        <v>63334</v>
      </c>
      <c r="B584" s="40" t="s">
        <v>101</v>
      </c>
      <c r="C584" s="41" t="s">
        <v>103</v>
      </c>
    </row>
    <row r="585" spans="1:3" ht="35.450000000000003">
      <c r="A585" s="39">
        <v>63439</v>
      </c>
      <c r="B585" s="40" t="s">
        <v>101</v>
      </c>
      <c r="C585" s="41" t="s">
        <v>105</v>
      </c>
    </row>
    <row r="586" spans="1:3" ht="48.95">
      <c r="A586" s="39">
        <v>63474</v>
      </c>
      <c r="B586" s="40" t="s">
        <v>101</v>
      </c>
      <c r="C586" s="41" t="s">
        <v>106</v>
      </c>
    </row>
    <row r="587" spans="1:3">
      <c r="A587" s="39">
        <v>63495</v>
      </c>
      <c r="B587" s="40" t="s">
        <v>101</v>
      </c>
      <c r="C587" s="41" t="s">
        <v>107</v>
      </c>
    </row>
    <row r="588" spans="1:3" ht="35.450000000000003">
      <c r="A588" s="39">
        <v>63508</v>
      </c>
      <c r="B588" s="40" t="s">
        <v>93</v>
      </c>
      <c r="C588" s="41" t="s">
        <v>109</v>
      </c>
    </row>
    <row r="589" spans="1:3">
      <c r="A589" s="39">
        <v>63548</v>
      </c>
      <c r="B589" s="40" t="s">
        <v>95</v>
      </c>
      <c r="C589" s="41" t="s">
        <v>110</v>
      </c>
    </row>
    <row r="590" spans="1:3" ht="35.450000000000003">
      <c r="A590" s="42">
        <v>63555</v>
      </c>
      <c r="B590" s="43" t="s">
        <v>95</v>
      </c>
      <c r="C590" s="44" t="s">
        <v>94</v>
      </c>
    </row>
    <row r="591" spans="1:3">
      <c r="A591" s="42">
        <v>63611</v>
      </c>
      <c r="B591" s="43" t="s">
        <v>95</v>
      </c>
      <c r="C591" s="44" t="s">
        <v>96</v>
      </c>
    </row>
    <row r="592" spans="1:3">
      <c r="A592" s="42">
        <v>63612</v>
      </c>
      <c r="B592" s="43" t="s">
        <v>97</v>
      </c>
      <c r="C592" s="44" t="s">
        <v>96</v>
      </c>
    </row>
    <row r="593" spans="1:3" ht="24">
      <c r="A593" s="42">
        <v>63657</v>
      </c>
      <c r="B593" s="43" t="s">
        <v>98</v>
      </c>
      <c r="C593" s="44" t="s">
        <v>99</v>
      </c>
    </row>
    <row r="594" spans="1:3">
      <c r="A594" s="42">
        <v>63665</v>
      </c>
      <c r="B594" s="43" t="s">
        <v>108</v>
      </c>
      <c r="C594" s="44" t="s">
        <v>100</v>
      </c>
    </row>
    <row r="595" spans="1:3" ht="24">
      <c r="A595" s="42">
        <v>63675</v>
      </c>
      <c r="B595" s="43" t="s">
        <v>97</v>
      </c>
      <c r="C595" s="44" t="s">
        <v>102</v>
      </c>
    </row>
    <row r="596" spans="1:3" ht="24">
      <c r="A596" s="42">
        <v>63719</v>
      </c>
      <c r="B596" s="43" t="s">
        <v>101</v>
      </c>
      <c r="C596" s="44" t="s">
        <v>103</v>
      </c>
    </row>
    <row r="597" spans="1:3" ht="35.450000000000003">
      <c r="A597" s="42">
        <v>63804</v>
      </c>
      <c r="B597" s="43" t="s">
        <v>98</v>
      </c>
      <c r="C597" s="44" t="s">
        <v>105</v>
      </c>
    </row>
    <row r="598" spans="1:3" ht="48.95">
      <c r="A598" s="42">
        <v>63839</v>
      </c>
      <c r="B598" s="43" t="s">
        <v>98</v>
      </c>
      <c r="C598" s="44" t="s">
        <v>106</v>
      </c>
    </row>
    <row r="599" spans="1:3">
      <c r="A599" s="42">
        <v>63860</v>
      </c>
      <c r="B599" s="43" t="s">
        <v>98</v>
      </c>
      <c r="C599" s="44" t="s">
        <v>107</v>
      </c>
    </row>
    <row r="600" spans="1:3" ht="35.450000000000003">
      <c r="A600" s="42">
        <v>63873</v>
      </c>
      <c r="B600" s="43" t="s">
        <v>101</v>
      </c>
      <c r="C600" s="44" t="s">
        <v>109</v>
      </c>
    </row>
    <row r="601" spans="1:3">
      <c r="A601" s="42">
        <v>63913</v>
      </c>
      <c r="B601" s="43" t="s">
        <v>97</v>
      </c>
      <c r="C601" s="44" t="s">
        <v>110</v>
      </c>
    </row>
    <row r="602" spans="1:3" ht="35.450000000000003">
      <c r="A602" s="39">
        <v>63920</v>
      </c>
      <c r="B602" s="40" t="s">
        <v>97</v>
      </c>
      <c r="C602" s="41" t="s">
        <v>94</v>
      </c>
    </row>
    <row r="603" spans="1:3">
      <c r="A603" s="39">
        <v>63968</v>
      </c>
      <c r="B603" s="40" t="s">
        <v>95</v>
      </c>
      <c r="C603" s="41" t="s">
        <v>96</v>
      </c>
    </row>
    <row r="604" spans="1:3">
      <c r="A604" s="39">
        <v>63969</v>
      </c>
      <c r="B604" s="40" t="s">
        <v>97</v>
      </c>
      <c r="C604" s="41" t="s">
        <v>96</v>
      </c>
    </row>
    <row r="605" spans="1:3" ht="24">
      <c r="A605" s="39">
        <v>64014</v>
      </c>
      <c r="B605" s="40" t="s">
        <v>98</v>
      </c>
      <c r="C605" s="41" t="s">
        <v>99</v>
      </c>
    </row>
    <row r="606" spans="1:3">
      <c r="A606" s="39">
        <v>64030</v>
      </c>
      <c r="B606" s="40" t="s">
        <v>104</v>
      </c>
      <c r="C606" s="41" t="s">
        <v>100</v>
      </c>
    </row>
    <row r="607" spans="1:3" ht="24">
      <c r="A607" s="39">
        <v>64040</v>
      </c>
      <c r="B607" s="40" t="s">
        <v>93</v>
      </c>
      <c r="C607" s="41" t="s">
        <v>102</v>
      </c>
    </row>
    <row r="608" spans="1:3" ht="24">
      <c r="A608" s="39">
        <v>64076</v>
      </c>
      <c r="B608" s="40" t="s">
        <v>101</v>
      </c>
      <c r="C608" s="41" t="s">
        <v>103</v>
      </c>
    </row>
    <row r="609" spans="1:3" ht="35.450000000000003">
      <c r="A609" s="39">
        <v>64169</v>
      </c>
      <c r="B609" s="40" t="s">
        <v>108</v>
      </c>
      <c r="C609" s="41" t="s">
        <v>105</v>
      </c>
    </row>
    <row r="610" spans="1:3" ht="48.95">
      <c r="A610" s="39">
        <v>64204</v>
      </c>
      <c r="B610" s="40" t="s">
        <v>108</v>
      </c>
      <c r="C610" s="41" t="s">
        <v>106</v>
      </c>
    </row>
    <row r="611" spans="1:3">
      <c r="A611" s="39">
        <v>64225</v>
      </c>
      <c r="B611" s="40" t="s">
        <v>108</v>
      </c>
      <c r="C611" s="41" t="s">
        <v>107</v>
      </c>
    </row>
    <row r="612" spans="1:3" ht="35.450000000000003">
      <c r="A612" s="39">
        <v>64238</v>
      </c>
      <c r="B612" s="40" t="s">
        <v>98</v>
      </c>
      <c r="C612" s="41" t="s">
        <v>109</v>
      </c>
    </row>
    <row r="613" spans="1:3">
      <c r="A613" s="39">
        <v>64278</v>
      </c>
      <c r="B613" s="40" t="s">
        <v>93</v>
      </c>
      <c r="C613" s="41" t="s">
        <v>110</v>
      </c>
    </row>
    <row r="614" spans="1:3" ht="35.450000000000003">
      <c r="A614" s="42">
        <v>64285</v>
      </c>
      <c r="B614" s="43" t="s">
        <v>93</v>
      </c>
      <c r="C614" s="44" t="s">
        <v>94</v>
      </c>
    </row>
    <row r="615" spans="1:3">
      <c r="A615" s="42">
        <v>64346</v>
      </c>
      <c r="B615" s="43" t="s">
        <v>95</v>
      </c>
      <c r="C615" s="44" t="s">
        <v>96</v>
      </c>
    </row>
    <row r="616" spans="1:3">
      <c r="A616" s="42">
        <v>64347</v>
      </c>
      <c r="B616" s="43" t="s">
        <v>97</v>
      </c>
      <c r="C616" s="44" t="s">
        <v>96</v>
      </c>
    </row>
    <row r="617" spans="1:3" ht="24">
      <c r="A617" s="42">
        <v>64392</v>
      </c>
      <c r="B617" s="43" t="s">
        <v>98</v>
      </c>
      <c r="C617" s="44" t="s">
        <v>99</v>
      </c>
    </row>
    <row r="618" spans="1:3">
      <c r="A618" s="42">
        <v>64396</v>
      </c>
      <c r="B618" s="43" t="s">
        <v>97</v>
      </c>
      <c r="C618" s="44" t="s">
        <v>100</v>
      </c>
    </row>
    <row r="619" spans="1:3" ht="24">
      <c r="A619" s="42">
        <v>64406</v>
      </c>
      <c r="B619" s="43" t="s">
        <v>98</v>
      </c>
      <c r="C619" s="44" t="s">
        <v>102</v>
      </c>
    </row>
    <row r="620" spans="1:3" ht="24">
      <c r="A620" s="42">
        <v>64454</v>
      </c>
      <c r="B620" s="43" t="s">
        <v>101</v>
      </c>
      <c r="C620" s="44" t="s">
        <v>103</v>
      </c>
    </row>
    <row r="621" spans="1:3" ht="35.450000000000003">
      <c r="A621" s="42">
        <v>64535</v>
      </c>
      <c r="B621" s="43" t="s">
        <v>95</v>
      </c>
      <c r="C621" s="44" t="s">
        <v>105</v>
      </c>
    </row>
    <row r="622" spans="1:3" ht="48.95">
      <c r="A622" s="42">
        <v>64570</v>
      </c>
      <c r="B622" s="43" t="s">
        <v>95</v>
      </c>
      <c r="C622" s="44" t="s">
        <v>106</v>
      </c>
    </row>
    <row r="623" spans="1:3">
      <c r="A623" s="42">
        <v>64591</v>
      </c>
      <c r="B623" s="43" t="s">
        <v>95</v>
      </c>
      <c r="C623" s="44" t="s">
        <v>107</v>
      </c>
    </row>
    <row r="624" spans="1:3" ht="35.450000000000003">
      <c r="A624" s="42">
        <v>64604</v>
      </c>
      <c r="B624" s="43" t="s">
        <v>104</v>
      </c>
      <c r="C624" s="44" t="s">
        <v>109</v>
      </c>
    </row>
    <row r="625" spans="1:3">
      <c r="A625" s="42">
        <v>64644</v>
      </c>
      <c r="B625" s="43" t="s">
        <v>98</v>
      </c>
      <c r="C625" s="44" t="s">
        <v>110</v>
      </c>
    </row>
    <row r="626" spans="1:3" ht="35.450000000000003">
      <c r="A626" s="39">
        <v>64651</v>
      </c>
      <c r="B626" s="40" t="s">
        <v>98</v>
      </c>
      <c r="C626" s="41" t="s">
        <v>94</v>
      </c>
    </row>
    <row r="627" spans="1:3">
      <c r="A627" s="39">
        <v>64703</v>
      </c>
      <c r="B627" s="40" t="s">
        <v>95</v>
      </c>
      <c r="C627" s="41" t="s">
        <v>96</v>
      </c>
    </row>
    <row r="628" spans="1:3">
      <c r="A628" s="39">
        <v>64704</v>
      </c>
      <c r="B628" s="40" t="s">
        <v>97</v>
      </c>
      <c r="C628" s="41" t="s">
        <v>96</v>
      </c>
    </row>
    <row r="629" spans="1:3" ht="24">
      <c r="A629" s="39">
        <v>64749</v>
      </c>
      <c r="B629" s="40" t="s">
        <v>98</v>
      </c>
      <c r="C629" s="41" t="s">
        <v>99</v>
      </c>
    </row>
    <row r="630" spans="1:3">
      <c r="A630" s="39">
        <v>64761</v>
      </c>
      <c r="B630" s="40" t="s">
        <v>93</v>
      </c>
      <c r="C630" s="41" t="s">
        <v>100</v>
      </c>
    </row>
    <row r="631" spans="1:3" ht="24">
      <c r="A631" s="39">
        <v>64771</v>
      </c>
      <c r="B631" s="40" t="s">
        <v>108</v>
      </c>
      <c r="C631" s="41" t="s">
        <v>102</v>
      </c>
    </row>
    <row r="632" spans="1:3" ht="24">
      <c r="A632" s="39">
        <v>64811</v>
      </c>
      <c r="B632" s="40" t="s">
        <v>101</v>
      </c>
      <c r="C632" s="41" t="s">
        <v>103</v>
      </c>
    </row>
    <row r="633" spans="1:3" ht="35.450000000000003">
      <c r="A633" s="39">
        <v>64900</v>
      </c>
      <c r="B633" s="40" t="s">
        <v>97</v>
      </c>
      <c r="C633" s="41" t="s">
        <v>105</v>
      </c>
    </row>
    <row r="634" spans="1:3" ht="48.95">
      <c r="A634" s="39">
        <v>64935</v>
      </c>
      <c r="B634" s="40" t="s">
        <v>97</v>
      </c>
      <c r="C634" s="41" t="s">
        <v>106</v>
      </c>
    </row>
    <row r="635" spans="1:3">
      <c r="A635" s="39">
        <v>64956</v>
      </c>
      <c r="B635" s="40" t="s">
        <v>97</v>
      </c>
      <c r="C635" s="41" t="s">
        <v>107</v>
      </c>
    </row>
    <row r="636" spans="1:3" ht="35.450000000000003">
      <c r="A636" s="39">
        <v>64969</v>
      </c>
      <c r="B636" s="40" t="s">
        <v>95</v>
      </c>
      <c r="C636" s="41" t="s">
        <v>109</v>
      </c>
    </row>
    <row r="637" spans="1:3">
      <c r="A637" s="39">
        <v>65009</v>
      </c>
      <c r="B637" s="40" t="s">
        <v>108</v>
      </c>
      <c r="C637" s="41" t="s">
        <v>110</v>
      </c>
    </row>
    <row r="638" spans="1:3" ht="35.450000000000003">
      <c r="A638" s="42">
        <v>65016</v>
      </c>
      <c r="B638" s="43" t="s">
        <v>97</v>
      </c>
      <c r="C638" s="44" t="s">
        <v>94</v>
      </c>
    </row>
    <row r="639" spans="1:3">
      <c r="A639" s="42">
        <v>65060</v>
      </c>
      <c r="B639" s="43" t="s">
        <v>95</v>
      </c>
      <c r="C639" s="44" t="s">
        <v>96</v>
      </c>
    </row>
    <row r="640" spans="1:3">
      <c r="A640" s="42">
        <v>65061</v>
      </c>
      <c r="B640" s="43" t="s">
        <v>97</v>
      </c>
      <c r="C640" s="44" t="s">
        <v>96</v>
      </c>
    </row>
    <row r="641" spans="1:3" ht="24">
      <c r="A641" s="42">
        <v>65106</v>
      </c>
      <c r="B641" s="43" t="s">
        <v>98</v>
      </c>
      <c r="C641" s="44" t="s">
        <v>99</v>
      </c>
    </row>
    <row r="642" spans="1:3">
      <c r="A642" s="42">
        <v>65126</v>
      </c>
      <c r="B642" s="43" t="s">
        <v>101</v>
      </c>
      <c r="C642" s="44" t="s">
        <v>100</v>
      </c>
    </row>
    <row r="643" spans="1:3" ht="24">
      <c r="A643" s="42">
        <v>65136</v>
      </c>
      <c r="B643" s="43" t="s">
        <v>93</v>
      </c>
      <c r="C643" s="44" t="s">
        <v>102</v>
      </c>
    </row>
    <row r="644" spans="1:3" ht="24">
      <c r="A644" s="42">
        <v>65168</v>
      </c>
      <c r="B644" s="43" t="s">
        <v>101</v>
      </c>
      <c r="C644" s="44" t="s">
        <v>103</v>
      </c>
    </row>
    <row r="645" spans="1:3" ht="35.450000000000003">
      <c r="A645" s="42">
        <v>65265</v>
      </c>
      <c r="B645" s="43" t="s">
        <v>93</v>
      </c>
      <c r="C645" s="44" t="s">
        <v>105</v>
      </c>
    </row>
    <row r="646" spans="1:3" ht="48.95">
      <c r="A646" s="42">
        <v>65300</v>
      </c>
      <c r="B646" s="43" t="s">
        <v>93</v>
      </c>
      <c r="C646" s="44" t="s">
        <v>106</v>
      </c>
    </row>
    <row r="647" spans="1:3">
      <c r="A647" s="42">
        <v>65321</v>
      </c>
      <c r="B647" s="43" t="s">
        <v>93</v>
      </c>
      <c r="C647" s="44" t="s">
        <v>107</v>
      </c>
    </row>
    <row r="648" spans="1:3" ht="35.450000000000003">
      <c r="A648" s="42">
        <v>65334</v>
      </c>
      <c r="B648" s="43" t="s">
        <v>97</v>
      </c>
      <c r="C648" s="44" t="s">
        <v>109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72B4A491D5140AF5D18075FE14853" ma:contentTypeVersion="14" ma:contentTypeDescription="Create a new document." ma:contentTypeScope="" ma:versionID="ec0f9991efb671c097816524454e772b">
  <xsd:schema xmlns:xsd="http://www.w3.org/2001/XMLSchema" xmlns:xs="http://www.w3.org/2001/XMLSchema" xmlns:p="http://schemas.microsoft.com/office/2006/metadata/properties" xmlns:ns2="03aaf55e-4b10-49d3-a077-d6b9a89b24aa" xmlns:ns3="0c0649fa-69cc-4cb7-ad28-0f1732333101" targetNamespace="http://schemas.microsoft.com/office/2006/metadata/properties" ma:root="true" ma:fieldsID="ef1bd5fce022e348a3775f148a5db83c" ns2:_="" ns3:_="">
    <xsd:import namespace="03aaf55e-4b10-49d3-a077-d6b9a89b24aa"/>
    <xsd:import namespace="0c0649fa-69cc-4cb7-ad28-0f17323331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aaf55e-4b10-49d3-a077-d6b9a89b24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62b72aa-f2ad-421f-b636-7f0f87e2f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0649fa-69cc-4cb7-ad28-0f17323331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8eb9ba-15b1-45f4-9a49-59f28a1da7d4}" ma:internalName="TaxCatchAll" ma:showField="CatchAllData" ma:web="0c0649fa-69cc-4cb7-ad28-0f17323331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aaf55e-4b10-49d3-a077-d6b9a89b24aa">
      <Terms xmlns="http://schemas.microsoft.com/office/infopath/2007/PartnerControls"/>
    </lcf76f155ced4ddcb4097134ff3c332f>
    <TaxCatchAll xmlns="0c0649fa-69cc-4cb7-ad28-0f1732333101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3FD5E937-E332-47FB-B581-15BD47FC010A}"/>
</file>

<file path=customXml/itemProps2.xml><?xml version="1.0" encoding="utf-8"?>
<ds:datastoreItem xmlns:ds="http://schemas.openxmlformats.org/officeDocument/2006/customXml" ds:itemID="{32CBDDC2-F294-4001-A40B-E40BA0A3097F}"/>
</file>

<file path=customXml/itemProps3.xml><?xml version="1.0" encoding="utf-8"?>
<ds:datastoreItem xmlns:ds="http://schemas.openxmlformats.org/officeDocument/2006/customXml" ds:itemID="{9E178E99-C58D-49E1-9898-EEE2A9D45AB2}"/>
</file>

<file path=customXml/itemProps4.xml><?xml version="1.0" encoding="utf-8"?>
<ds:datastoreItem xmlns:ds="http://schemas.openxmlformats.org/officeDocument/2006/customXml" ds:itemID="{3E9425F4-02E7-4B94-BA8B-04AEB7D1470B}"/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2026-03-10T13:11:22Z</dcterms:created>
  <dcterms:modified xsi:type="dcterms:W3CDTF">2026-07-24T16:46:44Z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0x010100A3F72B4A491D5140AF5D18075FE14853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{"FileActivityType":"9","FileActivityTimeStamp":"2026-03-10T14:52:29.743Z","FileActivityUsersOnPage":[{"DisplayName":"da Silva Junior Sergio Luis (ext) BRSP","Id":"sergio_luis.da_silva_junior@syngenta.com"},{"DisplayName":"Haddad Mariana BRAS","Id":"mariana.haddad@syngenta.com"},{"DisplayName":"Osako Lia BRAS","Id":"lia.kuniyoshi@syngenta.com"},{"DisplayName":"Sessa Carolina (ext) BRAS","Id":"carolina.sessa@syngenta.com"}],"FileActivityNavigationId":null}</vt:lpwstr>
  </property>
  <property fmtid="{D5CDD505-2E9C-101B-9397-08002B2CF9AE}" pid="7" name="TriggerFlowInfo">
    <vt:lpwstr/>
  </property>
</Properties>
</file>